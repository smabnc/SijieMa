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Recon 1H26" sheetId="2" state="visible" r:id="rId4"/>
    <sheet name="Calibration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From H1-26 report: kerosene 1,133.9 $/t ÷ (Brent 87.44 + crack 56.92 $/bbl) = 7.85. 7.88 is the usual conversion.</t>
        </r>
      </text>
    </comment>
    <comment ref="C6" authorId="0">
      <text>
        <r>
          <rPr>
            <sz val="10"/>
            <rFont val="Arial"/>
            <family val="2"/>
          </rPr>
          <t xml:space="preserve">Least-squares calibration across all 8 grids. &gt;1 means crack moves pass through slightly more than Brent moves (Brent-only hedges do not cover the crack).</t>
        </r>
      </text>
    </comment>
    <comment ref="C7" authorId="0">
      <text>
        <r>
          <rPr>
            <sz val="10"/>
            <rFont val="Arial"/>
            <family val="2"/>
          </rPr>
          <t xml:space="preserve">Calibrated. The hedge book is many option layers with different strikes; σ smooths the call-spread kinks into one curve.</t>
        </r>
      </text>
    </comment>
    <comment ref="C10" authorId="0">
      <text>
        <r>
          <rPr>
            <sz val="10"/>
            <rFont val="Arial"/>
            <family val="2"/>
          </rPr>
          <t xml:space="preserve">Slide footnote 4, Q2-26 presentation (27 Jul 2026)</t>
        </r>
      </text>
    </comment>
    <comment ref="C11" authorId="0">
      <text>
        <r>
          <rPr>
            <sz val="10"/>
            <rFont val="Arial"/>
            <family val="2"/>
          </rPr>
          <t xml:space="preserve">Slide footnote 5, Q2-26 presentation</t>
        </r>
      </text>
    </comment>
    <comment ref="C12" authorId="0">
      <text>
        <r>
          <rPr>
            <sz val="10"/>
            <rFont val="Arial"/>
            <family val="2"/>
          </rPr>
          <t xml:space="preserve">Calculated from the build-up in J:K. Changes with base Brent, crack, hedge ratio and realised data.</t>
        </r>
      </text>
    </comment>
    <comment ref="C13" authorId="0">
      <text>
        <r>
          <rPr>
            <sz val="10"/>
            <rFont val="Arial"/>
            <family val="2"/>
          </rPr>
          <t xml:space="preserve">As of 27 Jul 2026: Aug–Dec</t>
        </r>
      </text>
    </comment>
    <comment ref="C14" authorId="0">
      <text>
        <r>
          <rPr>
            <sz val="10"/>
            <rFont val="Arial"/>
            <family val="2"/>
          </rPr>
          <t xml:space="preserve">Remaining (Aug–Dec) volume ÷ FY volume, from the build-up in J:K.</t>
        </r>
      </text>
    </comment>
    <comment ref="C15" authorId="0">
      <text>
        <r>
          <rPr>
            <sz val="10"/>
            <rFont val="Arial"/>
            <family val="2"/>
          </rPr>
          <t xml:space="preserve">Company: 81% for remaining FY26 (48% gasoil, 33% Brent). Change this to test other hedge ratios.</t>
        </r>
      </text>
    </comment>
    <comment ref="C16" authorId="0">
      <text>
        <r>
          <rPr>
            <sz val="10"/>
            <rFont val="Arial"/>
            <family val="2"/>
          </rPr>
          <t xml:space="preserve">FY26 calibrated strike. Overwrite with your own for other years.</t>
        </r>
      </text>
    </comment>
    <comment ref="C17" authorId="0">
      <text>
        <r>
          <rPr>
            <sz val="10"/>
            <rFont val="Arial"/>
            <family val="2"/>
          </rPr>
          <t xml:space="preserve">FY26 calibrated strike.</t>
        </r>
      </text>
    </comment>
    <comment ref="C18" authorId="0">
      <text>
        <r>
          <rPr>
            <sz val="10"/>
            <rFont val="Arial"/>
            <family val="2"/>
          </rPr>
          <t xml:space="preserve">Q2-26 presentation hedge table</t>
        </r>
      </text>
    </comment>
    <comment ref="C19" authorId="0">
      <text>
        <r>
          <rPr>
            <sz val="10"/>
            <rFont val="Arial"/>
            <family val="2"/>
          </rPr>
          <t xml:space="preserve">Q2-26 presentation footnote 1</t>
        </r>
      </text>
    </comment>
    <comment ref="C20" authorId="0">
      <text>
        <r>
          <rPr>
            <sz val="10"/>
            <rFont val="Arial"/>
            <family val="2"/>
          </rPr>
          <t xml:space="preserve">Your scenario</t>
        </r>
      </text>
    </comment>
    <comment ref="C21" authorId="0">
      <text>
        <r>
          <rPr>
            <sz val="10"/>
            <rFont val="Arial"/>
            <family val="2"/>
          </rPr>
          <t xml:space="preserve">Your scenario</t>
        </r>
      </text>
    </comment>
    <comment ref="K10" authorId="0">
      <text>
        <r>
          <rPr>
            <sz val="10"/>
            <rFont val="Arial"/>
            <family val="2"/>
          </rPr>
          <t xml:space="preserve">H1-26 interim report: fuel expenses €4,176m.</t>
        </r>
      </text>
    </comment>
    <comment ref="K11" authorId="0">
      <text>
        <r>
          <rPr>
            <sz val="10"/>
            <rFont val="Arial"/>
            <family val="2"/>
          </rPr>
          <t xml:space="preserve">Guided: Q1 €40m (FY25 results) + Q2 €50m (Q1-26 results).</t>
        </r>
      </text>
    </comment>
    <comment ref="K12" authorId="0">
      <text>
        <r>
          <rPr>
            <sz val="10"/>
            <rFont val="Arial"/>
            <family val="2"/>
          </rPr>
          <t xml:space="preserve">H1-26 interim report, macro table.</t>
        </r>
      </text>
    </comment>
    <comment ref="K13" authorId="0">
      <text>
        <r>
          <rPr>
            <sz val="10"/>
            <rFont val="Arial"/>
            <family val="2"/>
          </rPr>
          <t xml:space="preserve">Guided Q1 2.0 mt + Q2 2.4 mt (hedge tables).</t>
        </r>
      </text>
    </comment>
    <comment ref="K14" authorId="0">
      <text>
        <r>
          <rPr>
            <sz val="10"/>
            <rFont val="Arial"/>
            <family val="2"/>
          </rPr>
          <t xml:space="preserve">Q2-26 presentation hedge table.</t>
        </r>
      </text>
    </comment>
    <comment ref="K16" authorId="0">
      <text>
        <r>
          <rPr>
            <sz val="10"/>
            <rFont val="Arial"/>
            <family val="2"/>
          </rPr>
          <t xml:space="preserve">FRED July Brent spot 83.76, rebased to Lufthansa's H1 average (×87.44/91.74).</t>
        </r>
      </text>
    </comment>
    <comment ref="K17" authorId="0">
      <text>
        <r>
          <rPr>
            <sz val="10"/>
            <rFont val="Arial"/>
            <family val="2"/>
          </rPr>
          <t xml:space="preserve">FRED US Gulf jet July 3.403 $/gal, rebased to Lufthansa's H1 kerosene average, less Brent.</t>
        </r>
      </text>
    </comment>
    <comment ref="K18" authorId="0">
      <text>
        <r>
          <rPr>
            <sz val="10"/>
            <rFont val="Arial"/>
            <family val="2"/>
          </rPr>
          <t xml:space="preserve">Q2-26 presentation: Q3 hedge ratio 82%.</t>
        </r>
      </text>
    </comment>
    <comment ref="K19" authorId="0">
      <text>
        <r>
          <rPr>
            <sz val="10"/>
            <rFont val="Arial"/>
            <family val="2"/>
          </rPr>
          <t xml:space="preserve">Calibrated once so the calculated P0 matches Lufthansa's 1,036 $/t at 27 Jul 2026. Covers into-plane cost and option premiums, which the hedge curve does not include.</t>
        </r>
      </text>
    </comment>
    <comment ref="K25" authorId="0">
      <text>
        <r>
          <rPr>
            <sz val="10"/>
            <rFont val="Arial"/>
            <family val="2"/>
          </rPr>
          <t xml:space="preserve">Q2-26 presentation hedge table.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H1-26 interim report, macro table (Bloomberg)</t>
        </r>
      </text>
    </comment>
    <comment ref="C8" authorId="0">
      <text>
        <r>
          <rPr>
            <sz val="10"/>
            <rFont val="Arial"/>
            <family val="2"/>
          </rPr>
          <t xml:space="preserve">H1-26 interim report, macro table (Bloomberg)</t>
        </r>
      </text>
    </comment>
    <comment ref="C18" authorId="0">
      <text>
        <r>
          <rPr>
            <sz val="10"/>
            <rFont val="Arial"/>
            <family val="2"/>
          </rPr>
          <t xml:space="preserve">Hedge tables: FY25 results (Q1 column) and Q1-26 results (2Q26 column)</t>
        </r>
      </text>
    </comment>
    <comment ref="C19" authorId="0">
      <text>
        <r>
          <rPr>
            <sz val="10"/>
            <rFont val="Arial"/>
            <family val="2"/>
          </rPr>
          <t xml:space="preserve">Same hedge tables</t>
        </r>
      </text>
    </comment>
    <comment ref="C20" authorId="0">
      <text>
        <r>
          <rPr>
            <sz val="10"/>
            <rFont val="Arial"/>
            <family val="2"/>
          </rPr>
          <t xml:space="preserve">Same hedge tables</t>
        </r>
      </text>
    </comment>
    <comment ref="C21" authorId="0">
      <text>
        <r>
          <rPr>
            <sz val="10"/>
            <rFont val="Arial"/>
            <family val="2"/>
          </rPr>
          <t xml:space="preserve">Footnote 1 of each slide</t>
        </r>
      </text>
    </comment>
    <comment ref="C22" authorId="0">
      <text>
        <r>
          <rPr>
            <sz val="10"/>
            <rFont val="Arial"/>
            <family val="2"/>
          </rPr>
          <t xml:space="preserve">Same hedge tables</t>
        </r>
      </text>
    </comment>
    <comment ref="C23" authorId="0">
      <text>
        <r>
          <rPr>
            <sz val="10"/>
            <rFont val="Arial"/>
            <family val="2"/>
          </rPr>
          <t xml:space="preserve">Slide footnote 4</t>
        </r>
      </text>
    </comment>
    <comment ref="C24" authorId="0">
      <text>
        <r>
          <rPr>
            <sz val="10"/>
            <rFont val="Arial"/>
            <family val="2"/>
          </rPr>
          <t xml:space="preserve">Slide footnote 5</t>
        </r>
      </text>
    </comment>
    <comment ref="C25" authorId="0">
      <text>
        <r>
          <rPr>
            <sz val="10"/>
            <rFont val="Arial"/>
            <family val="2"/>
          </rPr>
          <t xml:space="preserve">H1-26 average (interim report); quarterly split not disclosed</t>
        </r>
      </text>
    </comment>
    <comment ref="C26" authorId="0">
      <text>
        <r>
          <rPr>
            <sz val="10"/>
            <rFont val="Arial"/>
            <family val="2"/>
          </rPr>
          <t xml:space="preserve">Q1-26 and Q2-26 results; H1 = 4,176</t>
        </r>
      </text>
    </comment>
    <comment ref="C27" authorId="0">
      <text>
        <r>
          <rPr>
            <sz val="10"/>
            <rFont val="Arial"/>
            <family val="2"/>
          </rPr>
          <t xml:space="preserve">Q1-26 interim report: 126; H1-26: 585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Least-squares calibration</t>
        </r>
      </text>
    </comment>
    <comment ref="C7" authorId="0">
      <text>
        <r>
          <rPr>
            <sz val="10"/>
            <rFont val="Arial"/>
            <family val="2"/>
          </rPr>
          <t xml:space="preserve">Least-squares calibration</t>
        </r>
      </text>
    </comment>
    <comment ref="C8" authorId="0">
      <text>
        <r>
          <rPr>
            <sz val="10"/>
            <rFont val="Arial"/>
            <family val="2"/>
          </rPr>
          <t xml:space="preserve">Least-squares calibration</t>
        </r>
      </text>
    </comment>
    <comment ref="D6" authorId="0">
      <text>
        <r>
          <rPr>
            <sz val="10"/>
            <rFont val="Arial"/>
            <family val="2"/>
          </rPr>
          <t xml:space="preserve">Least-squares calibration</t>
        </r>
      </text>
    </comment>
    <comment ref="D7" authorId="0">
      <text>
        <r>
          <rPr>
            <sz val="10"/>
            <rFont val="Arial"/>
            <family val="2"/>
          </rPr>
          <t xml:space="preserve">Least-squares calibration</t>
        </r>
      </text>
    </comment>
    <comment ref="D8" authorId="0">
      <text>
        <r>
          <rPr>
            <sz val="10"/>
            <rFont val="Arial"/>
            <family val="2"/>
          </rPr>
          <t xml:space="preserve">Least-squares calibration</t>
        </r>
      </text>
    </comment>
  </commentList>
</comments>
</file>

<file path=xl/sharedStrings.xml><?xml version="1.0" encoding="utf-8"?>
<sst xmlns="http://schemas.openxmlformats.org/spreadsheetml/2006/main" count="315" uniqueCount="182">
  <si>
    <t xml:space="preserve">Lufthansa Group – FY fuel price sensitivity after hedging</t>
  </si>
  <si>
    <t xml:space="preserve">Blue = input you can change · black = formula · green = link to Calibration sheet · yellow = key levers</t>
  </si>
  <si>
    <t xml:space="preserve">Global parameters (calibrated on 8 published grids, 2024–26)</t>
  </si>
  <si>
    <t xml:space="preserve">Barrels per tonne of jet fuel (k)</t>
  </si>
  <si>
    <t xml:space="preserve">Crack weight vs Brent (w)</t>
  </si>
  <si>
    <t xml:space="preserve">Strike dispersion σ ($/t)</t>
  </si>
  <si>
    <t xml:space="preserve">Scenario inputs</t>
  </si>
  <si>
    <t xml:space="preserve">Base FY price build-up: realised to date + remaining at base forwards</t>
  </si>
  <si>
    <t xml:space="preserve">Base Brent, months not yet realised ($/bbl)</t>
  </si>
  <si>
    <t xml:space="preserve">H1 reported fuel expense incl. SAF (€m)</t>
  </si>
  <si>
    <t xml:space="preserve">Base jet crack ($/bbl)</t>
  </si>
  <si>
    <t xml:space="preserve">H1 mandatory SAF (€m)</t>
  </si>
  <si>
    <t xml:space="preserve">Base FY post-hedge jet price P0 ($/t) – calculated</t>
  </si>
  <si>
    <t xml:space="preserve">H1 average USD/EUR</t>
  </si>
  <si>
    <t xml:space="preserve">Months of the year not yet realised</t>
  </si>
  <si>
    <t xml:space="preserve">H1 volume (mt)</t>
  </si>
  <si>
    <t xml:space="preserve">Share of FY volume still to price (s)</t>
  </si>
  <si>
    <t xml:space="preserve">Q3 volume (mt)</t>
  </si>
  <si>
    <t xml:space="preserve">Hedge ratio on remaining volume (h)</t>
  </si>
  <si>
    <t xml:space="preserve">July volume (mt)</t>
  </si>
  <si>
    <t xml:space="preserve">Call-spread lower strike K1 ($/t jet)</t>
  </si>
  <si>
    <t xml:space="preserve">July Brent ($/bbl)</t>
  </si>
  <si>
    <t xml:space="preserve">Call-spread upper strike K2 ($/t jet)</t>
  </si>
  <si>
    <t xml:space="preserve">July jet crack ($/bbl)</t>
  </si>
  <si>
    <t xml:space="preserve">FY jet fuel volume (mt)</t>
  </si>
  <si>
    <t xml:space="preserve">July hedge ratio</t>
  </si>
  <si>
    <t xml:space="preserve">USD/EUR</t>
  </si>
  <si>
    <t xml:space="preserve">Level offset A ($/t)</t>
  </si>
  <si>
    <t xml:space="preserve">Scenario Brent ($/bbl)</t>
  </si>
  <si>
    <t xml:space="preserve">H1 realised fossil cost ($m)</t>
  </si>
  <si>
    <t xml:space="preserve">Scenario jet crack ($/bbl)</t>
  </si>
  <si>
    <t xml:space="preserve">July post-hedge price ($/t)</t>
  </si>
  <si>
    <t xml:space="preserve">Remaining volume Aug–Dec (mt)</t>
  </si>
  <si>
    <t xml:space="preserve">Outputs</t>
  </si>
  <si>
    <t xml:space="preserve">Remaining post-hedge price at base forwards ($/t)</t>
  </si>
  <si>
    <t xml:space="preserve">Market jet price at base, J0 ($/t)</t>
  </si>
  <si>
    <t xml:space="preserve">Calculated base FY price P0 ($/t)</t>
  </si>
  <si>
    <t xml:space="preserve">Market jet price in scenario, J ($/t)</t>
  </si>
  <si>
    <t xml:space="preserve">Lufthansa FY post-hedge price, 27 Jul 2026 ($/t)</t>
  </si>
  <si>
    <t xml:space="preserve">Hedge protection at base ($/t hedged)</t>
  </si>
  <si>
    <t xml:space="preserve">Difference ($/t)</t>
  </si>
  <si>
    <t xml:space="preserve">Hedge protection in scenario ($/t hedged)</t>
  </si>
  <si>
    <t xml:space="preserve">P0 = [H1 cost + July vol × July price + remaining vol × remaining price] ÷ FY volume</t>
  </si>
  <si>
    <t xml:space="preserve">Scenario FY post-hedge price P ($/t)</t>
  </si>
  <si>
    <t xml:space="preserve">Remaining price = J0 + A − h·Prot(J0); July uses July prices and the July hedge ratio</t>
  </si>
  <si>
    <t xml:space="preserve">Base FY fossil fuel cost (€bn)</t>
  </si>
  <si>
    <t xml:space="preserve">Scenario FY fossil fuel cost (€bn)</t>
  </si>
  <si>
    <t xml:space="preserve">Change vs base (€m)</t>
  </si>
  <si>
    <t xml:space="preserve">Formula: P = P0 + s·[(J−J0) − h·(Prot(J) − Prot(J0))],  J = k·(Brent + w·crack),  Prot = smoothed call spread K1–K2</t>
  </si>
  <si>
    <t xml:space="preserve">Sensitivity grid: FY post-hedge price ($/t)</t>
  </si>
  <si>
    <t xml:space="preserve">Brent ↓ / crack →</t>
  </si>
  <si>
    <t xml:space="preserve">Hedge-ratio sweep (other inputs as above)</t>
  </si>
  <si>
    <t xml:space="preserve">Hedge ratio h</t>
  </si>
  <si>
    <t xml:space="preserve">P at base ($/t)</t>
  </si>
  <si>
    <t xml:space="preserve">Brent +10</t>
  </si>
  <si>
    <t xml:space="preserve">Brent −10</t>
  </si>
  <si>
    <t xml:space="preserve">Crack +10</t>
  </si>
  <si>
    <t xml:space="preserve">Crack −10</t>
  </si>
  <si>
    <t xml:space="preserve">€m per Brent +10</t>
  </si>
  <si>
    <t xml:space="preserve">Note: h applies to Aug–Dec; the base price now moves with h because hedges are in the money at base forwards. Changing h keeps the calibrated option structure. For a swap-only book set K1 very low and K2 very high (e.g. 0 and 99,999).</t>
  </si>
  <si>
    <t xml:space="preserve">Reconciliation with H1 2026 reported fuel figures</t>
  </si>
  <si>
    <t xml:space="preserve">Test: start from Lufthansa's own quarterly guidance, move unrealised months from guidance forwards to realised prices with the model, compare with reported fuel expense.</t>
  </si>
  <si>
    <t xml:space="preserve">Monthly market prices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</si>
  <si>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</si>
  <si>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</si>
  <si>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</si>
  <si>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</si>
  <si>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</si>
  <si>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</si>
  <si>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Brent spot, FRED MCOILBRENTEU ($/bbl)</t>
  </si>
  <si>
    <t xml:space="preserve">Jet fuel USGC, FRED MJFUELUSGULF ($/gal)</t>
  </si>
  <si>
    <t xml:space="preserve">LH H1 average Brent ($/bbl)</t>
  </si>
  <si>
    <t xml:space="preserve">LH H1 average kerosene ($/t)</t>
  </si>
  <si>
    <t xml:space="preserve">Brent rebased to LH level ($/bbl)</t>
  </si>
  <si>
    <t xml:space="preserve">Jet rebased to LH level ($/t)</t>
  </si>
  <si>
    <t xml:space="preserve">Implied jet crack ($/bbl)</t>
  </si>
  <si>
    <t xml:space="preserve">Model jet price J = k·(Brent + w·crack) ($/t)</t>
  </si>
  <si>
    <t xml:space="preserve">Shape from FRED monthly series, level rebased to Lufthansa's H1 averages (FRED is US Gulf Coast jet and Europe Brent spot).</t>
  </si>
  <si>
    <t xml:space="preserve">Quarterly inputs (blue) and test</t>
  </si>
  <si>
    <t xml:space="preserve">Q1 2026</t>
  </si>
  <si>
    <t xml:space="preserve">Q2 2026</t>
  </si>
  <si>
    <t xml:space="preserve">H1 2026</t>
  </si>
  <si>
    <t xml:space="preserve">Guidance date</t>
  </si>
  <si>
    <t xml:space="preserve">28 Feb 2026</t>
  </si>
  <si>
    <t xml:space="preserve">30 Apr 2026</t>
  </si>
  <si>
    <t xml:space="preserve">Guided post-hedge jet price ($/t)</t>
  </si>
  <si>
    <t xml:space="preserve">Guided volume (mt)</t>
  </si>
  <si>
    <t xml:space="preserve">Guided mandatory SAF (€m)</t>
  </si>
  <si>
    <t xml:space="preserve">Guided FX at guidance (USD/EUR)</t>
  </si>
  <si>
    <t xml:space="preserve">Hedge ratio for the quarter (h)</t>
  </si>
  <si>
    <t xml:space="preserve">Forward Brent at guidance, unrealised months ($/bbl)</t>
  </si>
  <si>
    <t xml:space="preserve">Forward crack at guidance ($/bbl)</t>
  </si>
  <si>
    <t xml:space="preserve">Realised FX (USD/EUR)</t>
  </si>
  <si>
    <t xml:space="preserve">Reported fuel expense (€m)</t>
  </si>
  <si>
    <t xml:space="preserve">Reported hedge result (€m)</t>
  </si>
  <si>
    <t xml:space="preserve">Guidance fuel cost (€m)</t>
  </si>
  <si>
    <t xml:space="preserve">Forward model jet price J_fwd ($/t)</t>
  </si>
  <si>
    <t xml:space="preserve">Unrealised months</t>
  </si>
  <si>
    <t xml:space="preserve">May, Jun</t>
  </si>
  <si>
    <t xml:space="preserve">Model ΔP vs guidance ($/t)</t>
  </si>
  <si>
    <t xml:space="preserve">MODEL fuel cost at realised prices (€m)</t>
  </si>
  <si>
    <t xml:space="preserve">Error vs reported (€m)</t>
  </si>
  <si>
    <t xml:space="preserve">Error vs reported (%)</t>
  </si>
  <si>
    <t xml:space="preserve">Model hedge payoff (€m, absolute)</t>
  </si>
  <si>
    <t xml:space="preserve">Model hedge gain increase Q1→Q2 (€m)</t>
  </si>
  <si>
    <t xml:space="preserve">Reported increase Q1→Q2 (€m)</t>
  </si>
  <si>
    <t xml:space="preserve">Reading the test:</t>
  </si>
  <si>
    <t xml:space="preserve">• Fuel cost: compare the yellow rows. Within roughly ±5% is as good as the inputs allow: quarterly volumes and FX are not disclosed (guided values used), and FRED is US Gulf Coast jet, rebased to Lufthansa's H1 average.</t>
  </si>
  <si>
    <t xml:space="preserve">• Absolute hedge payoff cannot be compared with the reported hedge result: the grid only pins how cost CHANGES with price, and option premiums and layering sit in P0.</t>
  </si>
  <si>
    <t xml:space="preserve">• The change in hedge gains between quarters can be compared: it tests whether the model's protection at high prices is right.</t>
  </si>
  <si>
    <t xml:space="preserve">Calibration on published Lufthansa sensitivity grids</t>
  </si>
  <si>
    <t xml:space="preserve">Strikes are per hedge year (blue = calibrated values you can override). Global parameters live on the Model sheet.</t>
  </si>
  <si>
    <t xml:space="preserve">Hedge-year strikes</t>
  </si>
  <si>
    <t xml:space="preserve">Fit summary ($/t)</t>
  </si>
  <si>
    <t xml:space="preserve">Hedge year</t>
  </si>
  <si>
    <t xml:space="preserve">K1 ($/t)</t>
  </si>
  <si>
    <t xml:space="preserve">K2 ($/t)</t>
  </si>
  <si>
    <t xml:space="preserve">Grid (hedge year @ as-of)</t>
  </si>
  <si>
    <t xml:space="preserve">RMSE</t>
  </si>
  <si>
    <t xml:space="preserve">Max |error|</t>
  </si>
  <si>
    <t xml:space="preserve">Naive RMSE*</t>
  </si>
  <si>
    <t xml:space="preserve">2026</t>
  </si>
  <si>
    <t xml:space="preserve">FY24@2024-10-22</t>
  </si>
  <si>
    <t xml:space="preserve">2025</t>
  </si>
  <si>
    <t xml:space="preserve">FY25@2025-02-28</t>
  </si>
  <si>
    <t xml:space="preserve">2024</t>
  </si>
  <si>
    <t xml:space="preserve">FY25@2025-04-24</t>
  </si>
  <si>
    <t xml:space="preserve">FY25@2025-07-25</t>
  </si>
  <si>
    <t xml:space="preserve">FY25@2025-10-24</t>
  </si>
  <si>
    <t xml:space="preserve">FY26@2026-02-28</t>
  </si>
  <si>
    <t xml:space="preserve">FY26@2026-04-30</t>
  </si>
  <si>
    <t xml:space="preserve">FY26@2026-07-27</t>
  </si>
  <si>
    <t xml:space="preserve">All grids</t>
  </si>
  <si>
    <t xml:space="preserve">*Naive = P0 + s·(1−h)·ΔJ, i.e. treating the hedge ratio as a straight swap hedge.</t>
  </si>
  <si>
    <t xml:space="preserve">Source: Q3 2024 results presentation</t>
  </si>
  <si>
    <t xml:space="preserve">Months not yet realised</t>
  </si>
  <si>
    <t xml:space="preserve">s</t>
  </si>
  <si>
    <t xml:space="preserve">Base Brent</t>
  </si>
  <si>
    <t xml:space="preserve">Base crack</t>
  </si>
  <si>
    <t xml:space="preserve">P0 (centre cell)</t>
  </si>
  <si>
    <t xml:space="preserve">K1</t>
  </si>
  <si>
    <t xml:space="preserve">K2</t>
  </si>
  <si>
    <t xml:space="preserve">Published</t>
  </si>
  <si>
    <t xml:space="preserve">Model</t>
  </si>
  <si>
    <t xml:space="preserve">Model − published</t>
  </si>
  <si>
    <t xml:space="preserve">Brent \ crack</t>
  </si>
  <si>
    <t xml:space="preserve">Naive model SSE</t>
  </si>
  <si>
    <t xml:space="preserve">Source: FY 2024 results presentation (Mar 2025)</t>
  </si>
  <si>
    <t xml:space="preserve">Source: Q1 2025 results presentation</t>
  </si>
  <si>
    <t xml:space="preserve">Source: Q2 2025 results presentation</t>
  </si>
  <si>
    <t xml:space="preserve">Source: Q3 2025 results presentation</t>
  </si>
  <si>
    <t xml:space="preserve">Source: FY 2025 results presentation (Apr 2026)</t>
  </si>
  <si>
    <t xml:space="preserve">Source: Q1 2026 results presentation</t>
  </si>
  <si>
    <t xml:space="preserve">Source: Q2 2026 results presentation</t>
  </si>
  <si>
    <t xml:space="preserve">How the model works</t>
  </si>
  <si>
    <t xml:space="preserve">Lufthansa publishes, each quarter, its expected full-year post-hedge jet price for a grid of Brent × jet-crack scenarios applied to the months not yet realised.</t>
  </si>
  <si>
    <t xml:space="preserve">The model reproduces all eight published grids (Oct-24 to Jul-26) with one formula:</t>
  </si>
  <si>
    <t xml:space="preserve">   P = P0 + s · [ (J − J0) − h · (Prot(J) − Prot(J0)) ]</t>
  </si>
  <si>
    <t xml:space="preserve">   J = k · (Brent + w · crack) is the market jet price in $/t; J0 is the same at the base forward.</t>
  </si>
  <si>
    <t xml:space="preserve">   s = months not yet realised / 12; h = hedge ratio on that volume (from the hedge table).</t>
  </si>
  <si>
    <t xml:space="preserve">   Prot(J) = protection per hedged tonne from a call spread with strikes K1 &lt; K2:  SC(J,K1) − SC(J,K2).</t>
  </si>
  <si>
    <t xml:space="preserve">   SC(J,K) = (J−K)·Φ((J−K)/σ) + σ·φ((J−K)/σ) is a call payoff smoothed over a spread of strikes, because the real book is many layers.</t>
  </si>
  <si>
    <t xml:space="preserve">Why options, not swaps: the grids are steep where prices fall and flat where they rise (2024–25), and the reverse after the 2026 spike took prices above the upper strikes.</t>
  </si>
  <si>
    <t xml:space="preserve">A naive swap reading, P0 + s·(1−h)·ΔJ, misses by ~43 $/t RMSE; this model fits to ~9 $/t, and predicted the Jul-26 grid to 7 $/t RMSE using only the Feb and Apr 2026 grids.</t>
  </si>
  <si>
    <t xml:space="preserve">Using it for projections</t>
  </si>
  <si>
    <t xml:space="preserve">Model sheet: set base Brent/crack from the latest slide, h and the strikes, and update the realised-to-date block (J:K). P0 and s are calculated from these; the grid and sweep update automatically.</t>
  </si>
  <si>
    <t xml:space="preserve">For a new hedge year (e.g. FY27) the strikes are not disclosed. Past calibrated K2/K1 ratios were ~1.45–1.9; a starting assumption is K1 ≈ forward jet price when hedges were placed, K2 ≈ 1.5 × K1. Re-calibrate when the first FY27 grid is published.</t>
  </si>
  <si>
    <t xml:space="preserve">Fuel cost (€bn) = volume (mt) × P / USD-EUR. It covers fossil fuel only; mandatory SAF (~€0.2bn) and ETS are separate.</t>
  </si>
  <si>
    <t xml:space="preserve">Caveats</t>
  </si>
  <si>
    <t xml:space="preserve">Grid axes (rows = Brent, columns = jet crack) were read from the slide text; each was checked by matching the centre cell to the reported post-hedge price.</t>
  </si>
  <si>
    <t xml:space="preserve">Strikes are held fixed within a hedge year although layers are added over time; this is the main source of the remaining error (largest in the Feb/Apr grids).</t>
  </si>
  <si>
    <t xml:space="preserve">Hedge ratios used are the FY 'YTG' figures from each hedge table. Strikes are effective model parameters, not Lufthansa's actual contract strikes, which are not published.</t>
  </si>
  <si>
    <t xml:space="preserve">Sources</t>
  </si>
  <si>
    <t xml:space="preserve">FY24@2024-10-22: Lufthansa Group Q3 2024 results presentation</t>
  </si>
  <si>
    <t xml:space="preserve">FY25@2025-02-28: Lufthansa Group FY 2024 results presentation (Mar 2025)</t>
  </si>
  <si>
    <t xml:space="preserve">FY25@2025-04-24: Lufthansa Group Q1 2025 results presentation</t>
  </si>
  <si>
    <t xml:space="preserve">FY25@2025-07-25: Lufthansa Group Q2 2025 results presentation</t>
  </si>
  <si>
    <t xml:space="preserve">FY25@2025-10-24: Lufthansa Group Q3 2025 results presentation</t>
  </si>
  <si>
    <t xml:space="preserve">FY26@2026-02-28: Lufthansa Group FY 2025 results presentation (Apr 2026)</t>
  </si>
  <si>
    <t xml:space="preserve">FY26@2026-04-30: Lufthansa Group Q1 2026 results presentation</t>
  </si>
  <si>
    <t xml:space="preserve">FY26@2026-07-27: Lufthansa Group Q2 2026 results presentation</t>
  </si>
  <si>
    <t xml:space="preserve">Barrels-per-tonne check: Lufthansa Group 2nd Interim Report Jan–Jun 2026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</si>
</sst>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"/>
    <numFmt numFmtId="166" formatCode="0"/>
    <numFmt numFmtId="167" formatCode="0.0"/>
    <numFmt numFmtId="168" formatCode="#,##0"/>
    <numFmt numFmtId="169" formatCode="0.0000"/>
    <numFmt numFmtId="170" formatCode="0.0%"/>
    <numFmt numFmtId="171" formatCode="0.000"/>
    <numFmt numFmtId="172" formatCode="0%"/>
    <numFmt numFmtId="173" formatCode="\+0.0;\-0.0;0.0"/>
    <numFmt numFmtId="174" formatCode="#,##0;\(#,##0\);\-"/>
    <numFmt numFmtId="175" formatCode="\+#,##0;\-#,##0;0"/>
    <numFmt numFmtId="176" formatCode="#,##0.0"/>
    <numFmt numFmtId="177" formatCode="\+#,##0;\-#,##0"/>
    <numFmt numFmtId="178" formatCode="\+0.0%;\-0.0%"/>
    <numFmt numFmtId="179" formatCode="#,##0;\-#,##0;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8"/>
      <name val="Arial"/>
      <family val="0"/>
      <charset val="1"/>
    </font>
    <font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investor-relations.lufthansagroup.com/fileadmin/downloads/en/charts-speeches/241029_Q3-24_Results_Presentation_Website.pdf" TargetMode="External"/><Relationship Id="rId3" Type="http://schemas.openxmlformats.org/officeDocument/2006/relationships/hyperlink" Target="https://investor-relations.lufthansagroup.com/fileadmin/downloads/en/charts-speeches/LH-APC-2025-charts-Spohr-Streichert.pdf" TargetMode="External"/><Relationship Id="rId4" Type="http://schemas.openxmlformats.org/officeDocument/2006/relationships/hyperlink" Target="https://investor-relations.lufthansagroup.com/fileadmin/downloads/en/presentations/LH-QR-2025-1-charts.pdf" TargetMode="External"/><Relationship Id="rId5" Type="http://schemas.openxmlformats.org/officeDocument/2006/relationships/hyperlink" Target="https://investor-relations.lufthansagroup.com/fileadmin/downloads/en/charts-speeches/LH-QR-2025-2-charts.pdf" TargetMode="External"/><Relationship Id="rId6" Type="http://schemas.openxmlformats.org/officeDocument/2006/relationships/hyperlink" Target="https://investor-relations.lufthansagroup.com/fileadmin/downloads/en/charts-speeches/LH-QR-2025-3-charts.pdf" TargetMode="External"/><Relationship Id="rId7" Type="http://schemas.openxmlformats.org/officeDocument/2006/relationships/hyperlink" Target="https://investor-relations.lufthansagroup.com/fileadmin/downloads/en/charts-speeches/LH-APC-2026-charts-Spohr-Streichert-260413.pdf" TargetMode="External"/><Relationship Id="rId8" Type="http://schemas.openxmlformats.org/officeDocument/2006/relationships/hyperlink" Target="https://investor-relations.lufthansagroup.com/fileadmin/downloads/en/charts-speeches/LH-QR-2026-1-charts.pdf" TargetMode="External"/><Relationship Id="rId9" Type="http://schemas.openxmlformats.org/officeDocument/2006/relationships/hyperlink" Target="https://investor-relations.lufthansagroup.com/fileadmin/downloads/en/charts-speeches/LH-QR-2026-2-charts.pdf" TargetMode="External"/><Relationship Id="rId10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investor-relations.lufthansagroup.com/fileadmin/downloads/en/charts-speeches/241029_Q3-24_Results_Presentation_Website.pdf" TargetMode="External"/><Relationship Id="rId2" Type="http://schemas.openxmlformats.org/officeDocument/2006/relationships/hyperlink" Target="https://investor-relations.lufthansagroup.com/fileadmin/downloads/en/charts-speeches/LH-APC-2025-charts-Spohr-Streichert.pdf" TargetMode="External"/><Relationship Id="rId3" Type="http://schemas.openxmlformats.org/officeDocument/2006/relationships/hyperlink" Target="https://investor-relations.lufthansagroup.com/fileadmin/downloads/en/presentations/LH-QR-2025-1-charts.pdf" TargetMode="External"/><Relationship Id="rId4" Type="http://schemas.openxmlformats.org/officeDocument/2006/relationships/hyperlink" Target="https://investor-relations.lufthansagroup.com/fileadmin/downloads/en/charts-speeches/LH-QR-2025-2-charts.pdf" TargetMode="External"/><Relationship Id="rId5" Type="http://schemas.openxmlformats.org/officeDocument/2006/relationships/hyperlink" Target="https://investor-relations.lufthansagroup.com/fileadmin/downloads/en/charts-speeches/LH-QR-2025-3-charts.pdf" TargetMode="External"/><Relationship Id="rId6" Type="http://schemas.openxmlformats.org/officeDocument/2006/relationships/hyperlink" Target="https://investor-relations.lufthansagroup.com/fileadmin/downloads/en/charts-speeches/LH-APC-2026-charts-Spohr-Streichert-260413.pdf" TargetMode="External"/><Relationship Id="rId7" Type="http://schemas.openxmlformats.org/officeDocument/2006/relationships/hyperlink" Target="https://investor-relations.lufthansagroup.com/fileadmin/downloads/en/charts-speeches/LH-QR-2026-1-charts.pdf" TargetMode="External"/><Relationship Id="rId8" Type="http://schemas.openxmlformats.org/officeDocument/2006/relationships/hyperlink" Target="https://investor-relations.lufthansagroup.com/fileadmin/downloads/en/charts-speeches/LH-QR-2026-2-charts.pdf" TargetMode="External"/><Relationship Id="rId9" Type="http://schemas.openxmlformats.org/officeDocument/2006/relationships/hyperlink" Target="https://investor-relations.lufthansagroup.com/fileadmin/downloads/en/financial-reports/interims-reports/LH-QR-2026-2-e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9" min="3" style="0" width="13"/>
    <col collapsed="false" customWidth="true" hidden="false" outlineLevel="0" max="10" min="10" style="0" width="50"/>
    <col collapsed="false" customWidth="true" hidden="false" outlineLevel="0" max="11" min="11" style="0" width="13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n">
        <v>7.88</v>
      </c>
    </row>
    <row r="6" customFormat="false" ht="15" hidden="false" customHeight="false" outlineLevel="0" collapsed="false">
      <c r="B6" s="4" t="s">
        <v>4</v>
      </c>
      <c r="C6" s="5" t="n">
        <v>1.15</v>
      </c>
    </row>
    <row r="7" customFormat="false" ht="15" hidden="false" customHeight="false" outlineLevel="0" collapsed="false">
      <c r="B7" s="4" t="s">
        <v>5</v>
      </c>
      <c r="C7" s="6" t="n">
        <v>181</v>
      </c>
    </row>
    <row r="9" customFormat="false" ht="15" hidden="false" customHeight="false" outlineLevel="0" collapsed="false">
      <c r="B9" s="3" t="s">
        <v>6</v>
      </c>
      <c r="J9" s="3" t="s">
        <v>7</v>
      </c>
    </row>
    <row r="10" customFormat="false" ht="15" hidden="false" customHeight="false" outlineLevel="0" collapsed="false">
      <c r="B10" s="4" t="s">
        <v>8</v>
      </c>
      <c r="C10" s="7" t="n">
        <v>84</v>
      </c>
      <c r="J10" s="4" t="s">
        <v>9</v>
      </c>
      <c r="K10" s="8" t="n">
        <v>4176</v>
      </c>
    </row>
    <row r="11" customFormat="false" ht="15" hidden="false" customHeight="false" outlineLevel="0" collapsed="false">
      <c r="B11" s="4" t="s">
        <v>10</v>
      </c>
      <c r="C11" s="7" t="n">
        <v>64</v>
      </c>
      <c r="J11" s="4" t="s">
        <v>11</v>
      </c>
      <c r="K11" s="8" t="n">
        <v>90</v>
      </c>
    </row>
    <row r="12" customFormat="false" ht="15" hidden="false" customHeight="false" outlineLevel="0" collapsed="false">
      <c r="B12" s="4" t="s">
        <v>12</v>
      </c>
      <c r="C12" s="9" t="n">
        <f aca="false">($K$20+$K$15*$K$21+$K$22*$K$23)/$C$18</f>
        <v>1036.20864524015</v>
      </c>
      <c r="J12" s="4" t="s">
        <v>13</v>
      </c>
      <c r="K12" s="10" t="n">
        <v>1.1664</v>
      </c>
    </row>
    <row r="13" customFormat="false" ht="15" hidden="false" customHeight="false" outlineLevel="0" collapsed="false">
      <c r="B13" s="4" t="s">
        <v>14</v>
      </c>
      <c r="C13" s="6" t="n">
        <v>5</v>
      </c>
      <c r="J13" s="4" t="s">
        <v>15</v>
      </c>
      <c r="K13" s="5" t="n">
        <v>4.4</v>
      </c>
    </row>
    <row r="14" customFormat="false" ht="15" hidden="false" customHeight="false" outlineLevel="0" collapsed="false">
      <c r="B14" s="4" t="s">
        <v>16</v>
      </c>
      <c r="C14" s="11" t="n">
        <f aca="false">$K$22/$C$18</f>
        <v>0.438075017692852</v>
      </c>
      <c r="J14" s="4" t="s">
        <v>17</v>
      </c>
      <c r="K14" s="5" t="n">
        <v>2.68</v>
      </c>
    </row>
    <row r="15" customFormat="false" ht="15" hidden="false" customHeight="false" outlineLevel="0" collapsed="false">
      <c r="B15" s="4" t="s">
        <v>18</v>
      </c>
      <c r="C15" s="12" t="n">
        <v>0.81</v>
      </c>
      <c r="J15" s="4" t="s">
        <v>19</v>
      </c>
      <c r="K15" s="13" t="n">
        <f aca="false">K14/3</f>
        <v>0.893333333333333</v>
      </c>
    </row>
    <row r="16" customFormat="false" ht="15" hidden="false" customHeight="false" outlineLevel="0" collapsed="false">
      <c r="B16" s="4" t="s">
        <v>20</v>
      </c>
      <c r="C16" s="14" t="n">
        <f aca="false">Calibration!$C$6</f>
        <v>691</v>
      </c>
      <c r="J16" s="4" t="s">
        <v>21</v>
      </c>
      <c r="K16" s="7" t="n">
        <v>79.8</v>
      </c>
    </row>
    <row r="17" customFormat="false" ht="15" hidden="false" customHeight="false" outlineLevel="0" collapsed="false">
      <c r="B17" s="4" t="s">
        <v>22</v>
      </c>
      <c r="C17" s="14" t="n">
        <f aca="false">Calibration!$D$6</f>
        <v>1299</v>
      </c>
      <c r="J17" s="4" t="s">
        <v>23</v>
      </c>
      <c r="K17" s="7" t="n">
        <v>75.6</v>
      </c>
    </row>
    <row r="18" customFormat="false" ht="15" hidden="false" customHeight="false" outlineLevel="0" collapsed="false">
      <c r="B18" s="4" t="s">
        <v>24</v>
      </c>
      <c r="C18" s="5" t="n">
        <v>9.42</v>
      </c>
      <c r="J18" s="4" t="s">
        <v>25</v>
      </c>
      <c r="K18" s="15" t="n">
        <v>0.82</v>
      </c>
    </row>
    <row r="19" customFormat="false" ht="15" hidden="false" customHeight="false" outlineLevel="0" collapsed="false">
      <c r="B19" s="4" t="s">
        <v>26</v>
      </c>
      <c r="C19" s="16" t="n">
        <v>1.151</v>
      </c>
      <c r="J19" s="4" t="s">
        <v>27</v>
      </c>
      <c r="K19" s="6" t="n">
        <v>155</v>
      </c>
    </row>
    <row r="20" customFormat="false" ht="15" hidden="false" customHeight="false" outlineLevel="0" collapsed="false">
      <c r="B20" s="4" t="s">
        <v>28</v>
      </c>
      <c r="C20" s="17" t="n">
        <v>94</v>
      </c>
      <c r="J20" s="4" t="s">
        <v>29</v>
      </c>
      <c r="K20" s="18" t="n">
        <f aca="false">(K10-K11)*K12</f>
        <v>4765.9104</v>
      </c>
    </row>
    <row r="21" customFormat="false" ht="15" hidden="false" customHeight="false" outlineLevel="0" collapsed="false">
      <c r="B21" s="4" t="s">
        <v>30</v>
      </c>
      <c r="C21" s="17" t="n">
        <v>64</v>
      </c>
      <c r="J21" s="4" t="s">
        <v>31</v>
      </c>
      <c r="K21" s="18" t="n">
        <f aca="false">((Model!$C$5*((K16)+Model!$C$6*(K17)))+$K$19-(K18)*((((Model!$C$5*((K16)+Model!$C$6*(K17)))-($C$16))*NORMSDIST(((Model!$C$5*((K16)+Model!$C$6*(K17)))-($C$16))/Model!$C$7)+Model!$C$7*EXP(-((((Model!$C$5*((K16)+Model!$C$6*(K17)))-($C$16))/Model!$C$7)^2)/2)/SQRT(2*PI()))-(((Model!$C$5*((K16)+Model!$C$6*(K17)))-($C$17))*NORMSDIST(((Model!$C$5*((K16)+Model!$C$6*(K17)))-($C$17))/Model!$C$7)+Model!$C$7*EXP(-((((Model!$C$5*((K16)+Model!$C$6*(K17)))-($C$17))/Model!$C$7)^2)/2)/SQRT(2*PI()))))</f>
        <v>1023.63849861062</v>
      </c>
    </row>
    <row r="22" customFormat="false" ht="15" hidden="false" customHeight="false" outlineLevel="0" collapsed="false">
      <c r="J22" s="4" t="s">
        <v>32</v>
      </c>
      <c r="K22" s="13" t="n">
        <f aca="false">$C$18-K13-K15</f>
        <v>4.12666666666667</v>
      </c>
    </row>
    <row r="23" customFormat="false" ht="15" hidden="false" customHeight="false" outlineLevel="0" collapsed="false">
      <c r="B23" s="3" t="s">
        <v>33</v>
      </c>
      <c r="J23" s="4" t="s">
        <v>34</v>
      </c>
      <c r="K23" s="18" t="n">
        <f aca="false">((Model!$C$5*(($C$10)+Model!$C$6*($C$11)))+$K$19-($C$15)*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</f>
        <v>988.867038627628</v>
      </c>
    </row>
    <row r="24" customFormat="false" ht="15" hidden="false" customHeight="false" outlineLevel="0" collapsed="false">
      <c r="B24" s="4" t="s">
        <v>35</v>
      </c>
      <c r="C24" s="18" t="n">
        <f aca="false">Model!$C$5*(($C$10)+Model!$C$6*($C$11))</f>
        <v>1241.888</v>
      </c>
      <c r="J24" s="3" t="s">
        <v>36</v>
      </c>
      <c r="K24" s="9" t="n">
        <f aca="false">$C$12</f>
        <v>1036.20864524015</v>
      </c>
    </row>
    <row r="25" customFormat="false" ht="15" hidden="false" customHeight="false" outlineLevel="0" collapsed="false">
      <c r="B25" s="4" t="s">
        <v>37</v>
      </c>
      <c r="C25" s="18" t="n">
        <f aca="false">Model!$C$5*(($C$20)+Model!$C$6*($C$21))</f>
        <v>1320.688</v>
      </c>
      <c r="J25" s="4" t="s">
        <v>38</v>
      </c>
      <c r="K25" s="8" t="n">
        <v>1036</v>
      </c>
    </row>
    <row r="26" customFormat="false" ht="15" hidden="false" customHeight="false" outlineLevel="0" collapsed="false">
      <c r="B26" s="4" t="s">
        <v>39</v>
      </c>
      <c r="C26" s="18" t="n">
        <f aca="false">(((C24)-($C$16))*NORMSDIST(((C24)-($C$16))/Model!$C$7)+Model!$C$7*EXP(-((((C24)-($C$16))/Model!$C$7)^2)/2)/SQRT(2*PI()))-(((C24)-($C$17))*NORMSDIST(((C24)-($C$17))/Model!$C$7)+Model!$C$7*EXP(-((((C24)-($C$17))/Model!$C$7)^2)/2)/SQRT(2*PI()))</f>
        <v>503.7295819412</v>
      </c>
      <c r="J26" s="4" t="s">
        <v>40</v>
      </c>
      <c r="K26" s="19" t="n">
        <f aca="false">K24-K25</f>
        <v>0.208645240145188</v>
      </c>
    </row>
    <row r="27" customFormat="false" ht="15" hidden="false" customHeight="false" outlineLevel="0" collapsed="false">
      <c r="B27" s="4" t="s">
        <v>41</v>
      </c>
      <c r="C27" s="18" t="n">
        <f aca="false">(((C25)-($C$16))*NORMSDIST(((C25)-($C$16))/Model!$C$7)+Model!$C$7*EXP(-((((C25)-($C$16))/Model!$C$7)^2)/2)/SQRT(2*PI()))-(((C25)-($C$17))*NORMSDIST(((C25)-($C$17))/Model!$C$7)+Model!$C$7*EXP(-((((C25)-($C$17))/Model!$C$7)^2)/2)/SQRT(2*PI()))</f>
        <v>546.12920353626</v>
      </c>
      <c r="J27" s="20" t="s">
        <v>42</v>
      </c>
    </row>
    <row r="28" customFormat="false" ht="15" hidden="false" customHeight="false" outlineLevel="0" collapsed="false">
      <c r="B28" s="4" t="s">
        <v>43</v>
      </c>
      <c r="C28" s="21" t="n">
        <f aca="false">$C$12+$C$14*((C25-C24)-$C$15*(C27-C26))</f>
        <v>1055.6838425002</v>
      </c>
      <c r="J28" s="20" t="s">
        <v>44</v>
      </c>
    </row>
    <row r="29" customFormat="false" ht="15" hidden="false" customHeight="false" outlineLevel="0" collapsed="false">
      <c r="B29" s="4" t="s">
        <v>45</v>
      </c>
      <c r="C29" s="22" t="n">
        <f aca="false">$C$18*$C$12/$C$19/1000</f>
        <v>8.48052601056661</v>
      </c>
    </row>
    <row r="30" customFormat="false" ht="15" hidden="false" customHeight="false" outlineLevel="0" collapsed="false">
      <c r="B30" s="4" t="s">
        <v>46</v>
      </c>
      <c r="C30" s="23" t="n">
        <f aca="false">$C$18*C28/$C$19/1000</f>
        <v>8.6399146797149</v>
      </c>
    </row>
    <row r="31" customFormat="false" ht="15" hidden="false" customHeight="false" outlineLevel="0" collapsed="false">
      <c r="B31" s="4" t="s">
        <v>47</v>
      </c>
      <c r="C31" s="24" t="n">
        <f aca="false">(C30-C29)*1000</f>
        <v>159.388669148292</v>
      </c>
    </row>
    <row r="32" customFormat="false" ht="15" hidden="false" customHeight="false" outlineLevel="0" collapsed="false">
      <c r="B32" s="2" t="s">
        <v>48</v>
      </c>
    </row>
    <row r="34" customFormat="false" ht="15" hidden="false" customHeight="false" outlineLevel="0" collapsed="false">
      <c r="B34" s="3" t="s">
        <v>49</v>
      </c>
    </row>
    <row r="35" customFormat="false" ht="15" hidden="false" customHeight="false" outlineLevel="0" collapsed="false">
      <c r="B35" s="3" t="s">
        <v>50</v>
      </c>
      <c r="C35" s="25" t="n">
        <f aca="false">$C$11+(-20)</f>
        <v>44</v>
      </c>
      <c r="D35" s="25" t="n">
        <f aca="false">$C$11+(-10)</f>
        <v>54</v>
      </c>
      <c r="E35" s="25" t="n">
        <f aca="false">$C$11+(0)</f>
        <v>64</v>
      </c>
      <c r="F35" s="25" t="n">
        <f aca="false">$C$11+(10)</f>
        <v>74</v>
      </c>
      <c r="G35" s="25" t="n">
        <f aca="false">$C$11+(20)</f>
        <v>84</v>
      </c>
    </row>
    <row r="36" customFormat="false" ht="15" hidden="false" customHeight="false" outlineLevel="0" collapsed="false">
      <c r="B36" s="26" t="n">
        <f aca="false">$C$10+(30)</f>
        <v>114</v>
      </c>
      <c r="C36" s="27" t="n">
        <f aca="false">$C$12+$C$14*((Model!$C$5*(($B36)+Model!$C$6*(C$35)))-(Model!$C$5*(($C$10)+Model!$C$6*($C$11)))-$C$15*(((((Model!$C$5*(($B36)+Model!$C$6*(C$35)))-($C$16))*NORMSDIST(((Model!$C$5*(($B36)+Model!$C$6*(C$35)))-($C$16))/Model!$C$7)+Model!$C$7*EXP(-((((Model!$C$5*(($B36)+Model!$C$6*(C$35)))-($C$16))/Model!$C$7)^2)/2)/SQRT(2*PI()))-(((Model!$C$5*(($B36)+Model!$C$6*(C$35)))-($C$17))*NORMSDIST(((Model!$C$5*(($B36)+Model!$C$6*(C$35)))-($C$17))/Model!$C$7)+Model!$C$7*EXP(-((((Model!$C$5*(($B36)+Model!$C$6*(C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1049.3370250364</v>
      </c>
      <c r="D36" s="27" t="n">
        <f aca="false">$C$12+$C$14*((Model!$C$5*(($B36)+Model!$C$6*(D$35)))-(Model!$C$5*(($C$10)+Model!$C$6*($C$11)))-$C$15*(((((Model!$C$5*(($B36)+Model!$C$6*(D$35)))-($C$16))*NORMSDIST(((Model!$C$5*(($B36)+Model!$C$6*(D$35)))-($C$16))/Model!$C$7)+Model!$C$7*EXP(-((((Model!$C$5*(($B36)+Model!$C$6*(D$35)))-($C$16))/Model!$C$7)^2)/2)/SQRT(2*PI()))-(((Model!$C$5*(($B36)+Model!$C$6*(D$35)))-($C$17))*NORMSDIST(((Model!$C$5*(($B36)+Model!$C$6*(D$35)))-($C$17))/Model!$C$7)+Model!$C$7*EXP(-((((Model!$C$5*(($B36)+Model!$C$6*(D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1075.97638718796</v>
      </c>
      <c r="E36" s="27" t="n">
        <f aca="false">$C$12+$C$14*((Model!$C$5*(($B36)+Model!$C$6*(E$35)))-(Model!$C$5*(($C$10)+Model!$C$6*($C$11)))-$C$15*(((((Model!$C$5*(($B36)+Model!$C$6*(E$35)))-($C$16))*NORMSDIST(((Model!$C$5*(($B36)+Model!$C$6*(E$35)))-($C$16))/Model!$C$7)+Model!$C$7*EXP(-((((Model!$C$5*(($B36)+Model!$C$6*(E$35)))-($C$16))/Model!$C$7)^2)/2)/SQRT(2*PI()))-(((Model!$C$5*(($B36)+Model!$C$6*(E$35)))-($C$17))*NORMSDIST(((Model!$C$5*(($B36)+Model!$C$6*(E$35)))-($C$17))/Model!$C$7)+Model!$C$7*EXP(-((((Model!$C$5*(($B36)+Model!$C$6*(E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1108.21820519962</v>
      </c>
      <c r="F36" s="27" t="n">
        <f aca="false">$C$12+$C$14*((Model!$C$5*(($B36)+Model!$C$6*(F$35)))-(Model!$C$5*(($C$10)+Model!$C$6*($C$11)))-$C$15*(((((Model!$C$5*(($B36)+Model!$C$6*(F$35)))-($C$16))*NORMSDIST(((Model!$C$5*(($B36)+Model!$C$6*(F$35)))-($C$16))/Model!$C$7)+Model!$C$7*EXP(-((((Model!$C$5*(($B36)+Model!$C$6*(F$35)))-($C$16))/Model!$C$7)^2)/2)/SQRT(2*PI()))-(((Model!$C$5*(($B36)+Model!$C$6*(F$35)))-($C$17))*NORMSDIST(((Model!$C$5*(($B36)+Model!$C$6*(F$35)))-($C$17))/Model!$C$7)+Model!$C$7*EXP(-((((Model!$C$5*(($B36)+Model!$C$6*(F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1144.3888614722</v>
      </c>
      <c r="G36" s="27" t="n">
        <f aca="false">$C$12+$C$14*((Model!$C$5*(($B36)+Model!$C$6*(G$35)))-(Model!$C$5*(($C$10)+Model!$C$6*($C$11)))-$C$15*(((((Model!$C$5*(($B36)+Model!$C$6*(G$35)))-($C$16))*NORMSDIST(((Model!$C$5*(($B36)+Model!$C$6*(G$35)))-($C$16))/Model!$C$7)+Model!$C$7*EXP(-((((Model!$C$5*(($B36)+Model!$C$6*(G$35)))-($C$16))/Model!$C$7)^2)/2)/SQRT(2*PI()))-(((Model!$C$5*(($B36)+Model!$C$6*(G$35)))-($C$17))*NORMSDIST(((Model!$C$5*(($B36)+Model!$C$6*(G$35)))-($C$17))/Model!$C$7)+Model!$C$7*EXP(-((((Model!$C$5*(($B36)+Model!$C$6*(G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1182.72422394853</v>
      </c>
    </row>
    <row r="37" customFormat="false" ht="15" hidden="false" customHeight="false" outlineLevel="0" collapsed="false">
      <c r="B37" s="26" t="n">
        <f aca="false">$C$10+(20)</f>
        <v>104</v>
      </c>
      <c r="C37" s="27" t="n">
        <f aca="false">$C$12+$C$14*((Model!$C$5*(($B37)+Model!$C$6*(C$35)))-(Model!$C$5*(($C$10)+Model!$C$6*($C$11)))-$C$15*(((((Model!$C$5*(($B37)+Model!$C$6*(C$35)))-($C$16))*NORMSDIST(((Model!$C$5*(($B37)+Model!$C$6*(C$35)))-($C$16))/Model!$C$7)+Model!$C$7*EXP(-((((Model!$C$5*(($B37)+Model!$C$6*(C$35)))-($C$16))/Model!$C$7)^2)/2)/SQRT(2*PI()))-(((Model!$C$5*(($B37)+Model!$C$6*(C$35)))-($C$17))*NORMSDIST(((Model!$C$5*(($B37)+Model!$C$6*(C$35)))-($C$17))/Model!$C$7)+Model!$C$7*EXP(-((((Model!$C$5*(($B37)+Model!$C$6*(C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1031.27801719508</v>
      </c>
      <c r="D37" s="27" t="n">
        <f aca="false">$C$12+$C$14*((Model!$C$5*(($B37)+Model!$C$6*(D$35)))-(Model!$C$5*(($C$10)+Model!$C$6*($C$11)))-$C$15*(((((Model!$C$5*(($B37)+Model!$C$6*(D$35)))-($C$16))*NORMSDIST(((Model!$C$5*(($B37)+Model!$C$6*(D$35)))-($C$16))/Model!$C$7)+Model!$C$7*EXP(-((((Model!$C$5*(($B37)+Model!$C$6*(D$35)))-($C$16))/Model!$C$7)^2)/2)/SQRT(2*PI()))-(((Model!$C$5*(($B37)+Model!$C$6*(D$35)))-($C$17))*NORMSDIST(((Model!$C$5*(($B37)+Model!$C$6*(D$35)))-($C$17))/Model!$C$7)+Model!$C$7*EXP(-((((Model!$C$5*(($B37)+Model!$C$6*(D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1052.456061054</v>
      </c>
      <c r="E37" s="27" t="n">
        <f aca="false">$C$12+$C$14*((Model!$C$5*(($B37)+Model!$C$6*(E$35)))-(Model!$C$5*(($C$10)+Model!$C$6*($C$11)))-$C$15*(((((Model!$C$5*(($B37)+Model!$C$6*(E$35)))-($C$16))*NORMSDIST(((Model!$C$5*(($B37)+Model!$C$6*(E$35)))-($C$16))/Model!$C$7)+Model!$C$7*EXP(-((((Model!$C$5*(($B37)+Model!$C$6*(E$35)))-($C$16))/Model!$C$7)^2)/2)/SQRT(2*PI()))-(((Model!$C$5*(($B37)+Model!$C$6*(E$35)))-($C$17))*NORMSDIST(((Model!$C$5*(($B37)+Model!$C$6*(E$35)))-($C$17))/Model!$C$7)+Model!$C$7*EXP(-((((Model!$C$5*(($B37)+Model!$C$6*(E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1079.89352269004</v>
      </c>
      <c r="F37" s="27" t="n">
        <f aca="false">$C$12+$C$14*((Model!$C$5*(($B37)+Model!$C$6*(F$35)))-(Model!$C$5*(($C$10)+Model!$C$6*($C$11)))-$C$15*(((((Model!$C$5*(($B37)+Model!$C$6*(F$35)))-($C$16))*NORMSDIST(((Model!$C$5*(($B37)+Model!$C$6*(F$35)))-($C$16))/Model!$C$7)+Model!$C$7*EXP(-((((Model!$C$5*(($B37)+Model!$C$6*(F$35)))-($C$16))/Model!$C$7)^2)/2)/SQRT(2*PI()))-(((Model!$C$5*(($B37)+Model!$C$6*(F$35)))-($C$17))*NORMSDIST(((Model!$C$5*(($B37)+Model!$C$6*(F$35)))-($C$17))/Model!$C$7)+Model!$C$7*EXP(-((((Model!$C$5*(($B37)+Model!$C$6*(F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1112.75392720303</v>
      </c>
      <c r="G37" s="27" t="n">
        <f aca="false">$C$12+$C$14*((Model!$C$5*(($B37)+Model!$C$6*(G$35)))-(Model!$C$5*(($C$10)+Model!$C$6*($C$11)))-$C$15*(((((Model!$C$5*(($B37)+Model!$C$6*(G$35)))-($C$16))*NORMSDIST(((Model!$C$5*(($B37)+Model!$C$6*(G$35)))-($C$16))/Model!$C$7)+Model!$C$7*EXP(-((((Model!$C$5*(($B37)+Model!$C$6*(G$35)))-($C$16))/Model!$C$7)^2)/2)/SQRT(2*PI()))-(((Model!$C$5*(($B37)+Model!$C$6*(G$35)))-($C$17))*NORMSDIST(((Model!$C$5*(($B37)+Model!$C$6*(G$35)))-($C$17))/Model!$C$7)+Model!$C$7*EXP(-((((Model!$C$5*(($B37)+Model!$C$6*(G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1149.29929359112</v>
      </c>
    </row>
    <row r="38" customFormat="false" ht="15" hidden="false" customHeight="false" outlineLevel="0" collapsed="false">
      <c r="B38" s="26" t="n">
        <f aca="false">$C$10+(10)</f>
        <v>94</v>
      </c>
      <c r="C38" s="27" t="n">
        <f aca="false">$C$12+$C$14*((Model!$C$5*(($B38)+Model!$C$6*(C$35)))-(Model!$C$5*(($C$10)+Model!$C$6*($C$11)))-$C$15*(((((Model!$C$5*(($B38)+Model!$C$6*(C$35)))-($C$16))*NORMSDIST(((Model!$C$5*(($B38)+Model!$C$6*(C$35)))-($C$16))/Model!$C$7)+Model!$C$7*EXP(-((((Model!$C$5*(($B38)+Model!$C$6*(C$35)))-($C$16))/Model!$C$7)^2)/2)/SQRT(2*PI()))-(((Model!$C$5*(($B38)+Model!$C$6*(C$35)))-($C$17))*NORMSDIST(((Model!$C$5*(($B38)+Model!$C$6*(C$35)))-($C$17))/Model!$C$7)+Model!$C$7*EXP(-((((Model!$C$5*(($B38)+Model!$C$6*(C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1017.48237798636</v>
      </c>
      <c r="D38" s="27" t="n">
        <f aca="false">$C$12+$C$14*((Model!$C$5*(($B38)+Model!$C$6*(D$35)))-(Model!$C$5*(($C$10)+Model!$C$6*($C$11)))-$C$15*(((((Model!$C$5*(($B38)+Model!$C$6*(D$35)))-($C$16))*NORMSDIST(((Model!$C$5*(($B38)+Model!$C$6*(D$35)))-($C$16))/Model!$C$7)+Model!$C$7*EXP(-((((Model!$C$5*(($B38)+Model!$C$6*(D$35)))-($C$16))/Model!$C$7)^2)/2)/SQRT(2*PI()))-(((Model!$C$5*(($B38)+Model!$C$6*(D$35)))-($C$17))*NORMSDIST(((Model!$C$5*(($B38)+Model!$C$6*(D$35)))-($C$17))/Model!$C$7)+Model!$C$7*EXP(-((((Model!$C$5*(($B38)+Model!$C$6*(D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1033.69318308496</v>
      </c>
      <c r="E38" s="27" t="n">
        <f aca="false">$C$12+$C$14*((Model!$C$5*(($B38)+Model!$C$6*(E$35)))-(Model!$C$5*(($C$10)+Model!$C$6*($C$11)))-$C$15*(((((Model!$C$5*(($B38)+Model!$C$6*(E$35)))-($C$16))*NORMSDIST(((Model!$C$5*(($B38)+Model!$C$6*(E$35)))-($C$16))/Model!$C$7)+Model!$C$7*EXP(-((((Model!$C$5*(($B38)+Model!$C$6*(E$35)))-($C$16))/Model!$C$7)^2)/2)/SQRT(2*PI()))-(((Model!$C$5*(($B38)+Model!$C$6*(E$35)))-($C$17))*NORMSDIST(((Model!$C$5*(($B38)+Model!$C$6*(E$35)))-($C$17))/Model!$C$7)+Model!$C$7*EXP(-((((Model!$C$5*(($B38)+Model!$C$6*(E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1055.6838425002</v>
      </c>
      <c r="F38" s="27" t="n">
        <f aca="false">$C$12+$C$14*((Model!$C$5*(($B38)+Model!$C$6*(F$35)))-(Model!$C$5*(($C$10)+Model!$C$6*($C$11)))-$C$15*(((((Model!$C$5*(($B38)+Model!$C$6*(F$35)))-($C$16))*NORMSDIST(((Model!$C$5*(($B38)+Model!$C$6*(F$35)))-($C$16))/Model!$C$7)+Model!$C$7*EXP(-((((Model!$C$5*(($B38)+Model!$C$6*(F$35)))-($C$16))/Model!$C$7)^2)/2)/SQRT(2*PI()))-(((Model!$C$5*(($B38)+Model!$C$6*(F$35)))-($C$17))*NORMSDIST(((Model!$C$5*(($B38)+Model!$C$6*(F$35)))-($C$17))/Model!$C$7)+Model!$C$7*EXP(-((((Model!$C$5*(($B38)+Model!$C$6*(F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1083.90424670312</v>
      </c>
      <c r="G38" s="27" t="n">
        <f aca="false">$C$12+$C$14*((Model!$C$5*(($B38)+Model!$C$6*(G$35)))-(Model!$C$5*(($C$10)+Model!$C$6*($C$11)))-$C$15*(((((Model!$C$5*(($B38)+Model!$C$6*(G$35)))-($C$16))*NORMSDIST(((Model!$C$5*(($B38)+Model!$C$6*(G$35)))-($C$16))/Model!$C$7)+Model!$C$7*EXP(-((((Model!$C$5*(($B38)+Model!$C$6*(G$35)))-($C$16))/Model!$C$7)^2)/2)/SQRT(2*PI()))-(((Model!$C$5*(($B38)+Model!$C$6*(G$35)))-($C$17))*NORMSDIST(((Model!$C$5*(($B38)+Model!$C$6*(G$35)))-($C$17))/Model!$C$7)+Model!$C$7*EXP(-((((Model!$C$5*(($B38)+Model!$C$6*(G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1117.35222338706</v>
      </c>
    </row>
    <row r="39" customFormat="false" ht="15" hidden="false" customHeight="false" outlineLevel="0" collapsed="false">
      <c r="B39" s="26" t="n">
        <f aca="false">$C$10+(0)</f>
        <v>84</v>
      </c>
      <c r="C39" s="27" t="n">
        <f aca="false">$C$12+$C$14*((Model!$C$5*(($B39)+Model!$C$6*(C$35)))-(Model!$C$5*(($C$10)+Model!$C$6*($C$11)))-$C$15*(((((Model!$C$5*(($B39)+Model!$C$6*(C$35)))-($C$16))*NORMSDIST(((Model!$C$5*(($B39)+Model!$C$6*(C$35)))-($C$16))/Model!$C$7)+Model!$C$7*EXP(-((((Model!$C$5*(($B39)+Model!$C$6*(C$35)))-($C$16))/Model!$C$7)^2)/2)/SQRT(2*PI()))-(((Model!$C$5*(($B39)+Model!$C$6*(C$35)))-($C$17))*NORMSDIST(((Model!$C$5*(($B39)+Model!$C$6*(C$35)))-($C$17))/Model!$C$7)+Model!$C$7*EXP(-((((Model!$C$5*(($B39)+Model!$C$6*(C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1006.72375260786</v>
      </c>
      <c r="D39" s="27" t="n">
        <f aca="false">$C$12+$C$14*((Model!$C$5*(($B39)+Model!$C$6*(D$35)))-(Model!$C$5*(($C$10)+Model!$C$6*($C$11)))-$C$15*(((((Model!$C$5*(($B39)+Model!$C$6*(D$35)))-($C$16))*NORMSDIST(((Model!$C$5*(($B39)+Model!$C$6*(D$35)))-($C$16))/Model!$C$7)+Model!$C$7*EXP(-((((Model!$C$5*(($B39)+Model!$C$6*(D$35)))-($C$16))/Model!$C$7)^2)/2)/SQRT(2*PI()))-(((Model!$C$5*(($B39)+Model!$C$6*(D$35)))-($C$17))*NORMSDIST(((Model!$C$5*(($B39)+Model!$C$6*(D$35)))-($C$17))/Model!$C$7)+Model!$C$7*EXP(-((((Model!$C$5*(($B39)+Model!$C$6*(D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1019.32209474046</v>
      </c>
      <c r="E39" s="27" t="n">
        <f aca="false">$C$12+$C$14*((Model!$C$5*(($B39)+Model!$C$6*(E$35)))-(Model!$C$5*(($C$10)+Model!$C$6*($C$11)))-$C$15*(((((Model!$C$5*(($B39)+Model!$C$6*(E$35)))-($C$16))*NORMSDIST(((Model!$C$5*(($B39)+Model!$C$6*(E$35)))-($C$16))/Model!$C$7)+Model!$C$7*EXP(-((((Model!$C$5*(($B39)+Model!$C$6*(E$35)))-($C$16))/Model!$C$7)^2)/2)/SQRT(2*PI()))-(((Model!$C$5*(($B39)+Model!$C$6*(E$35)))-($C$17))*NORMSDIST(((Model!$C$5*(($B39)+Model!$C$6*(E$35)))-($C$17))/Model!$C$7)+Model!$C$7*EXP(-((((Model!$C$5*(($B39)+Model!$C$6*(E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1036.20864524015</v>
      </c>
      <c r="F39" s="27" t="n">
        <f aca="false">$C$12+$C$14*((Model!$C$5*(($B39)+Model!$C$6*(F$35)))-(Model!$C$5*(($C$10)+Model!$C$6*($C$11)))-$C$15*(((((Model!$C$5*(($B39)+Model!$C$6*(F$35)))-($C$16))*NORMSDIST(((Model!$C$5*(($B39)+Model!$C$6*(F$35)))-($C$16))/Model!$C$7)+Model!$C$7*EXP(-((((Model!$C$5*(($B39)+Model!$C$6*(F$35)))-($C$16))/Model!$C$7)^2)/2)/SQRT(2*PI()))-(((Model!$C$5*(($B39)+Model!$C$6*(F$35)))-($C$17))*NORMSDIST(((Model!$C$5*(($B39)+Model!$C$6*(F$35)))-($C$17))/Model!$C$7)+Model!$C$7*EXP(-((((Model!$C$5*(($B39)+Model!$C$6*(F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1059.01981582388</v>
      </c>
      <c r="G39" s="27" t="n">
        <f aca="false">$C$12+$C$14*((Model!$C$5*(($B39)+Model!$C$6*(G$35)))-(Model!$C$5*(($C$10)+Model!$C$6*($C$11)))-$C$15*(((((Model!$C$5*(($B39)+Model!$C$6*(G$35)))-($C$16))*NORMSDIST(((Model!$C$5*(($B39)+Model!$C$6*(G$35)))-($C$16))/Model!$C$7)+Model!$C$7*EXP(-((((Model!$C$5*(($B39)+Model!$C$6*(G$35)))-($C$16))/Model!$C$7)^2)/2)/SQRT(2*PI()))-(((Model!$C$5*(($B39)+Model!$C$6*(G$35)))-($C$17))*NORMSDIST(((Model!$C$5*(($B39)+Model!$C$6*(G$35)))-($C$17))/Model!$C$7)+Model!$C$7*EXP(-((((Model!$C$5*(($B39)+Model!$C$6*(G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1088.00504690208</v>
      </c>
    </row>
    <row r="40" customFormat="false" ht="15" hidden="false" customHeight="false" outlineLevel="0" collapsed="false">
      <c r="B40" s="26" t="n">
        <f aca="false">$C$10+(-10)</f>
        <v>74</v>
      </c>
      <c r="C40" s="27" t="n">
        <f aca="false">$C$12+$C$14*((Model!$C$5*(($B40)+Model!$C$6*(C$35)))-(Model!$C$5*(($C$10)+Model!$C$6*($C$11)))-$C$15*(((((Model!$C$5*(($B40)+Model!$C$6*(C$35)))-($C$16))*NORMSDIST(((Model!$C$5*(($B40)+Model!$C$6*(C$35)))-($C$16))/Model!$C$7)+Model!$C$7*EXP(-((((Model!$C$5*(($B40)+Model!$C$6*(C$35)))-($C$16))/Model!$C$7)^2)/2)/SQRT(2*PI()))-(((Model!$C$5*(($B40)+Model!$C$6*(C$35)))-($C$17))*NORMSDIST(((Model!$C$5*(($B40)+Model!$C$6*(C$35)))-($C$17))/Model!$C$7)+Model!$C$7*EXP(-((((Model!$C$5*(($B40)+Model!$C$6*(C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997.395117144414</v>
      </c>
      <c r="D40" s="27" t="n">
        <f aca="false">$C$12+$C$14*((Model!$C$5*(($B40)+Model!$C$6*(D$35)))-(Model!$C$5*(($C$10)+Model!$C$6*($C$11)))-$C$15*(((((Model!$C$5*(($B40)+Model!$C$6*(D$35)))-($C$16))*NORMSDIST(((Model!$C$5*(($B40)+Model!$C$6*(D$35)))-($C$16))/Model!$C$7)+Model!$C$7*EXP(-((((Model!$C$5*(($B40)+Model!$C$6*(D$35)))-($C$16))/Model!$C$7)^2)/2)/SQRT(2*PI()))-(((Model!$C$5*(($B40)+Model!$C$6*(D$35)))-($C$17))*NORMSDIST(((Model!$C$5*(($B40)+Model!$C$6*(D$35)))-($C$17))/Model!$C$7)+Model!$C$7*EXP(-((((Model!$C$5*(($B40)+Model!$C$6*(D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1008.20496904223</v>
      </c>
      <c r="E40" s="27" t="n">
        <f aca="false">$C$12+$C$14*((Model!$C$5*(($B40)+Model!$C$6*(E$35)))-(Model!$C$5*(($C$10)+Model!$C$6*($C$11)))-$C$15*(((((Model!$C$5*(($B40)+Model!$C$6*(E$35)))-($C$16))*NORMSDIST(((Model!$C$5*(($B40)+Model!$C$6*(E$35)))-($C$16))/Model!$C$7)+Model!$C$7*EXP(-((((Model!$C$5*(($B40)+Model!$C$6*(E$35)))-($C$16))/Model!$C$7)^2)/2)/SQRT(2*PI()))-(((Model!$C$5*(($B40)+Model!$C$6*(E$35)))-($C$17))*NORMSDIST(((Model!$C$5*(($B40)+Model!$C$6*(E$35)))-($C$17))/Model!$C$7)+Model!$C$7*EXP(-((((Model!$C$5*(($B40)+Model!$C$6*(E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1021.2357994877</v>
      </c>
      <c r="F40" s="27" t="n">
        <f aca="false">$C$12+$C$14*((Model!$C$5*(($B40)+Model!$C$6*(F$35)))-(Model!$C$5*(($C$10)+Model!$C$6*($C$11)))-$C$15*(((((Model!$C$5*(($B40)+Model!$C$6*(F$35)))-($C$16))*NORMSDIST(((Model!$C$5*(($B40)+Model!$C$6*(F$35)))-($C$16))/Model!$C$7)+Model!$C$7*EXP(-((((Model!$C$5*(($B40)+Model!$C$6*(F$35)))-($C$16))/Model!$C$7)^2)/2)/SQRT(2*PI()))-(((Model!$C$5*(($B40)+Model!$C$6*(F$35)))-($C$17))*NORMSDIST(((Model!$C$5*(($B40)+Model!$C$6*(F$35)))-($C$17))/Model!$C$7)+Model!$C$7*EXP(-((((Model!$C$5*(($B40)+Model!$C$6*(F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1038.82697023241</v>
      </c>
      <c r="G40" s="27" t="n">
        <f aca="false">$C$12+$C$14*((Model!$C$5*(($B40)+Model!$C$6*(G$35)))-(Model!$C$5*(($C$10)+Model!$C$6*($C$11)))-$C$15*(((((Model!$C$5*(($B40)+Model!$C$6*(G$35)))-($C$16))*NORMSDIST(((Model!$C$5*(($B40)+Model!$C$6*(G$35)))-($C$16))/Model!$C$7)+Model!$C$7*EXP(-((((Model!$C$5*(($B40)+Model!$C$6*(G$35)))-($C$16))/Model!$C$7)^2)/2)/SQRT(2*PI()))-(((Model!$C$5*(($B40)+Model!$C$6*(G$35)))-($C$17))*NORMSDIST(((Model!$C$5*(($B40)+Model!$C$6*(G$35)))-($C$17))/Model!$C$7)+Model!$C$7*EXP(-((((Model!$C$5*(($B40)+Model!$C$6*(G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1062.46296017443</v>
      </c>
    </row>
    <row r="41" customFormat="false" ht="15" hidden="false" customHeight="false" outlineLevel="0" collapsed="false">
      <c r="B41" s="26" t="n">
        <f aca="false">$C$10+(-20)</f>
        <v>64</v>
      </c>
      <c r="C41" s="27" t="n">
        <f aca="false">$C$12+$C$14*((Model!$C$5*(($B41)+Model!$C$6*(C$35)))-(Model!$C$5*(($C$10)+Model!$C$6*($C$11)))-$C$15*(((((Model!$C$5*(($B41)+Model!$C$6*(C$35)))-($C$16))*NORMSDIST(((Model!$C$5*(($B41)+Model!$C$6*(C$35)))-($C$16))/Model!$C$7)+Model!$C$7*EXP(-((((Model!$C$5*(($B41)+Model!$C$6*(C$35)))-($C$16))/Model!$C$7)^2)/2)/SQRT(2*PI()))-(((Model!$C$5*(($B41)+Model!$C$6*(C$35)))-($C$17))*NORMSDIST(((Model!$C$5*(($B41)+Model!$C$6*(C$35)))-($C$17))/Model!$C$7)+Model!$C$7*EXP(-((((Model!$C$5*(($B41)+Model!$C$6*(C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987.778243991635</v>
      </c>
      <c r="D41" s="27" t="n">
        <f aca="false">$C$12+$C$14*((Model!$C$5*(($B41)+Model!$C$6*(D$35)))-(Model!$C$5*(($C$10)+Model!$C$6*($C$11)))-$C$15*(((((Model!$C$5*(($B41)+Model!$C$6*(D$35)))-($C$16))*NORMSDIST(((Model!$C$5*(($B41)+Model!$C$6*(D$35)))-($C$16))/Model!$C$7)+Model!$C$7*EXP(-((((Model!$C$5*(($B41)+Model!$C$6*(D$35)))-($C$16))/Model!$C$7)^2)/2)/SQRT(2*PI()))-(((Model!$C$5*(($B41)+Model!$C$6*(D$35)))-($C$17))*NORMSDIST(((Model!$C$5*(($B41)+Model!$C$6*(D$35)))-($C$17))/Model!$C$7)+Model!$C$7*EXP(-((((Model!$C$5*(($B41)+Model!$C$6*(D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998.770531626423</v>
      </c>
      <c r="E41" s="27" t="n">
        <f aca="false">$C$12+$C$14*((Model!$C$5*(($B41)+Model!$C$6*(E$35)))-(Model!$C$5*(($C$10)+Model!$C$6*($C$11)))-$C$15*(((((Model!$C$5*(($B41)+Model!$C$6*(E$35)))-($C$16))*NORMSDIST(((Model!$C$5*(($B41)+Model!$C$6*(E$35)))-($C$16))/Model!$C$7)+Model!$C$7*EXP(-((((Model!$C$5*(($B41)+Model!$C$6*(E$35)))-($C$16))/Model!$C$7)^2)/2)/SQRT(2*PI()))-(((Model!$C$5*(($B41)+Model!$C$6*(E$35)))-($C$17))*NORMSDIST(((Model!$C$5*(($B41)+Model!$C$6*(E$35)))-($C$17))/Model!$C$7)+Model!$C$7*EXP(-((((Model!$C$5*(($B41)+Model!$C$6*(E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1009.72425394915</v>
      </c>
      <c r="F41" s="27" t="n">
        <f aca="false">$C$12+$C$14*((Model!$C$5*(($B41)+Model!$C$6*(F$35)))-(Model!$C$5*(($C$10)+Model!$C$6*($C$11)))-$C$15*(((((Model!$C$5*(($B41)+Model!$C$6*(F$35)))-($C$16))*NORMSDIST(((Model!$C$5*(($B41)+Model!$C$6*(F$35)))-($C$16))/Model!$C$7)+Model!$C$7*EXP(-((((Model!$C$5*(($B41)+Model!$C$6*(F$35)))-($C$16))/Model!$C$7)^2)/2)/SQRT(2*PI()))-(((Model!$C$5*(($B41)+Model!$C$6*(F$35)))-($C$17))*NORMSDIST(((Model!$C$5*(($B41)+Model!$C$6*(F$35)))-($C$17))/Model!$C$7)+Model!$C$7*EXP(-((((Model!$C$5*(($B41)+Model!$C$6*(F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1023.22826814375</v>
      </c>
      <c r="G41" s="27" t="n">
        <f aca="false">$C$12+$C$14*((Model!$C$5*(($B41)+Model!$C$6*(G$35)))-(Model!$C$5*(($C$10)+Model!$C$6*($C$11)))-$C$15*(((((Model!$C$5*(($B41)+Model!$C$6*(G$35)))-($C$16))*NORMSDIST(((Model!$C$5*(($B41)+Model!$C$6*(G$35)))-($C$16))/Model!$C$7)+Model!$C$7*EXP(-((((Model!$C$5*(($B41)+Model!$C$6*(G$35)))-($C$16))/Model!$C$7)^2)/2)/SQRT(2*PI()))-(((Model!$C$5*(($B41)+Model!$C$6*(G$35)))-($C$17))*NORMSDIST(((Model!$C$5*(($B41)+Model!$C$6*(G$35)))-($C$17))/Model!$C$7)+Model!$C$7*EXP(-((((Model!$C$5*(($B41)+Model!$C$6*(G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1041.55028856766</v>
      </c>
    </row>
    <row r="42" customFormat="false" ht="15" hidden="false" customHeight="false" outlineLevel="0" collapsed="false">
      <c r="B42" s="26" t="n">
        <f aca="false">$C$10+(-30)</f>
        <v>54</v>
      </c>
      <c r="C42" s="27" t="n">
        <f aca="false">$C$12+$C$14*((Model!$C$5*(($B42)+Model!$C$6*(C$35)))-(Model!$C$5*(($C$10)+Model!$C$6*($C$11)))-$C$15*(((((Model!$C$5*(($B42)+Model!$C$6*(C$35)))-($C$16))*NORMSDIST(((Model!$C$5*(($B42)+Model!$C$6*(C$35)))-($C$16))/Model!$C$7)+Model!$C$7*EXP(-((((Model!$C$5*(($B42)+Model!$C$6*(C$35)))-($C$16))/Model!$C$7)^2)/2)/SQRT(2*PI()))-(((Model!$C$5*(($B42)+Model!$C$6*(C$35)))-($C$17))*NORMSDIST(((Model!$C$5*(($B42)+Model!$C$6*(C$35)))-($C$17))/Model!$C$7)+Model!$C$7*EXP(-((((Model!$C$5*(($B42)+Model!$C$6*(C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976.172933235002</v>
      </c>
      <c r="D42" s="27" t="n">
        <f aca="false">$C$12+$C$14*((Model!$C$5*(($B42)+Model!$C$6*(D$35)))-(Model!$C$5*(($C$10)+Model!$C$6*($C$11)))-$C$15*(((((Model!$C$5*(($B42)+Model!$C$6*(D$35)))-($C$16))*NORMSDIST(((Model!$C$5*(($B42)+Model!$C$6*(D$35)))-($C$16))/Model!$C$7)+Model!$C$7*EXP(-((((Model!$C$5*(($B42)+Model!$C$6*(D$35)))-($C$16))/Model!$C$7)^2)/2)/SQRT(2*PI()))-(((Model!$C$5*(($B42)+Model!$C$6*(D$35)))-($C$17))*NORMSDIST(((Model!$C$5*(($B42)+Model!$C$6*(D$35)))-($C$17))/Model!$C$7)+Model!$C$7*EXP(-((((Model!$C$5*(($B42)+Model!$C$6*(D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989.306895653455</v>
      </c>
      <c r="E42" s="27" t="n">
        <f aca="false">$C$12+$C$14*((Model!$C$5*(($B42)+Model!$C$6*(E$35)))-(Model!$C$5*(($C$10)+Model!$C$6*($C$11)))-$C$15*(((((Model!$C$5*(($B42)+Model!$C$6*(E$35)))-($C$16))*NORMSDIST(((Model!$C$5*(($B42)+Model!$C$6*(E$35)))-($C$16))/Model!$C$7)+Model!$C$7*EXP(-((((Model!$C$5*(($B42)+Model!$C$6*(E$35)))-($C$16))/Model!$C$7)^2)/2)/SQRT(2*PI()))-(((Model!$C$5*(($B42)+Model!$C$6*(E$35)))-($C$17))*NORMSDIST(((Model!$C$5*(($B42)+Model!$C$6*(E$35)))-($C$17))/Model!$C$7)+Model!$C$7*EXP(-((((Model!$C$5*(($B42)+Model!$C$6*(E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1000.14528698279</v>
      </c>
      <c r="F42" s="27" t="n">
        <f aca="false">$C$12+$C$14*((Model!$C$5*(($B42)+Model!$C$6*(F$35)))-(Model!$C$5*(($C$10)+Model!$C$6*($C$11)))-$C$15*(((((Model!$C$5*(($B42)+Model!$C$6*(F$35)))-($C$16))*NORMSDIST(((Model!$C$5*(($B42)+Model!$C$6*(F$35)))-($C$16))/Model!$C$7)+Model!$C$7*EXP(-((((Model!$C$5*(($B42)+Model!$C$6*(F$35)))-($C$16))/Model!$C$7)^2)/2)/SQRT(2*PI()))-(((Model!$C$5*(($B42)+Model!$C$6*(F$35)))-($C$17))*NORMSDIST(((Model!$C$5*(($B42)+Model!$C$6*(F$35)))-($C$17))/Model!$C$7)+Model!$C$7*EXP(-((((Model!$C$5*(($B42)+Model!$C$6*(F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1011.2872894057</v>
      </c>
      <c r="G42" s="27" t="n">
        <f aca="false">$C$12+$C$14*((Model!$C$5*(($B42)+Model!$C$6*(G$35)))-(Model!$C$5*(($C$10)+Model!$C$6*($C$11)))-$C$15*(((((Model!$C$5*(($B42)+Model!$C$6*(G$35)))-($C$16))*NORMSDIST(((Model!$C$5*(($B42)+Model!$C$6*(G$35)))-($C$16))/Model!$C$7)+Model!$C$7*EXP(-((((Model!$C$5*(($B42)+Model!$C$6*(G$35)))-($C$16))/Model!$C$7)^2)/2)/SQRT(2*PI()))-(((Model!$C$5*(($B42)+Model!$C$6*(G$35)))-($C$17))*NORMSDIST(((Model!$C$5*(($B42)+Model!$C$6*(G$35)))-($C$17))/Model!$C$7)+Model!$C$7*EXP(-((((Model!$C$5*(($B42)+Model!$C$6*(G$35)))-($C$17))/Model!$C$7)^2)/2)/SQRT(2*PI())))-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</f>
        <v>1025.30403308452</v>
      </c>
    </row>
    <row r="45" customFormat="false" ht="15" hidden="false" customHeight="false" outlineLevel="0" collapsed="false">
      <c r="B45" s="3" t="s">
        <v>51</v>
      </c>
    </row>
    <row r="46" customFormat="false" ht="15" hidden="false" customHeight="false" outlineLevel="0" collapsed="false">
      <c r="B46" s="28" t="s">
        <v>52</v>
      </c>
      <c r="C46" s="28" t="s">
        <v>53</v>
      </c>
      <c r="D46" s="28" t="s">
        <v>54</v>
      </c>
      <c r="E46" s="28" t="s">
        <v>55</v>
      </c>
      <c r="F46" s="28" t="s">
        <v>56</v>
      </c>
      <c r="G46" s="28" t="s">
        <v>57</v>
      </c>
      <c r="H46" s="28" t="s">
        <v>58</v>
      </c>
    </row>
    <row r="47" customFormat="false" ht="15" hidden="false" customHeight="false" outlineLevel="0" collapsed="false">
      <c r="B47" s="29" t="n">
        <v>0</v>
      </c>
      <c r="C47" s="18" t="n">
        <f aca="false">(($K$20+$K$15*$K$21+$K$22*((Model!$C$5*(($C$10)+Model!$C$6*($C$11)))+$K$19-($B47)*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/$C$18)</f>
        <v>1214.9524351124</v>
      </c>
      <c r="D47" s="30" t="n">
        <f aca="false">(($K$20+$K$15*$K$21+$K$22*((Model!$C$5*(($C$10+10)+Model!$C$6*($C$11+0)))+$K$19-($B47)*((((Model!$C$5*(($C$10+10)+Model!$C$6*($C$11+0)))-($C$16))*NORMSDIST(((Model!$C$5*(($C$10+10)+Model!$C$6*($C$11+0)))-($C$16))/Model!$C$7)+Model!$C$7*EXP(-((((Model!$C$5*(($C$10+10)+Model!$C$6*($C$11+0)))-($C$16))/Model!$C$7)^2)/2)/SQRT(2*PI()))-(((Model!$C$5*(($C$10+10)+Model!$C$6*($C$11+0)))-($C$17))*NORMSDIST(((Model!$C$5*(($C$10+10)+Model!$C$6*($C$11+0)))-($C$17))/Model!$C$7)+Model!$C$7*EXP(-((((Model!$C$5*(($C$10+10)+Model!$C$6*($C$11+0)))-($C$17))/Model!$C$7)^2)/2)/SQRT(2*PI())))))/$C$18)-C47</f>
        <v>34.5203113941966</v>
      </c>
      <c r="E47" s="30" t="n">
        <f aca="false">(($K$20+$K$15*$K$21+$K$22*((Model!$C$5*(($C$10+-10)+Model!$C$6*($C$11+0)))+$K$19-($B47)*((((Model!$C$5*(($C$10+-10)+Model!$C$6*($C$11+0)))-($C$16))*NORMSDIST(((Model!$C$5*(($C$10+-10)+Model!$C$6*($C$11+0)))-($C$16))/Model!$C$7)+Model!$C$7*EXP(-((((Model!$C$5*(($C$10+-10)+Model!$C$6*($C$11+0)))-($C$16))/Model!$C$7)^2)/2)/SQRT(2*PI()))-(((Model!$C$5*(($C$10+-10)+Model!$C$6*($C$11+0)))-($C$17))*NORMSDIST(((Model!$C$5*(($C$10+-10)+Model!$C$6*($C$11+0)))-($C$17))/Model!$C$7)+Model!$C$7*EXP(-((((Model!$C$5*(($C$10+-10)+Model!$C$6*($C$11+0)))-($C$17))/Model!$C$7)^2)/2)/SQRT(2*PI())))))/$C$18)-C47</f>
        <v>-34.5203113941968</v>
      </c>
      <c r="F47" s="30" t="n">
        <f aca="false">(($K$20+$K$15*$K$21+$K$22*((Model!$C$5*(($C$10+0)+Model!$C$6*($C$11+10)))+$K$19-($B47)*((((Model!$C$5*(($C$10+0)+Model!$C$6*($C$11+10)))-($C$16))*NORMSDIST(((Model!$C$5*(($C$10+0)+Model!$C$6*($C$11+10)))-($C$16))/Model!$C$7)+Model!$C$7*EXP(-((((Model!$C$5*(($C$10+0)+Model!$C$6*($C$11+10)))-($C$16))/Model!$C$7)^2)/2)/SQRT(2*PI()))-(((Model!$C$5*(($C$10+0)+Model!$C$6*($C$11+10)))-($C$17))*NORMSDIST(((Model!$C$5*(($C$10+0)+Model!$C$6*($C$11+10)))-($C$17))/Model!$C$7)+Model!$C$7*EXP(-((((Model!$C$5*(($C$10+0)+Model!$C$6*($C$11+10)))-($C$17))/Model!$C$7)^2)/2)/SQRT(2*PI())))))/$C$18)-C47</f>
        <v>39.6983581033262</v>
      </c>
      <c r="G47" s="30" t="n">
        <f aca="false">(($K$20+$K$15*$K$21+$K$22*((Model!$C$5*(($C$10+0)+Model!$C$6*($C$11+-10)))+$K$19-($B47)*((((Model!$C$5*(($C$10+0)+Model!$C$6*($C$11+-10)))-($C$16))*NORMSDIST(((Model!$C$5*(($C$10+0)+Model!$C$6*($C$11+-10)))-($C$16))/Model!$C$7)+Model!$C$7*EXP(-((((Model!$C$5*(($C$10+0)+Model!$C$6*($C$11+-10)))-($C$16))/Model!$C$7)^2)/2)/SQRT(2*PI()))-(((Model!$C$5*(($C$10+0)+Model!$C$6*($C$11+-10)))-($C$17))*NORMSDIST(((Model!$C$5*(($C$10+0)+Model!$C$6*($C$11+-10)))-($C$17))/Model!$C$7)+Model!$C$7*EXP(-((((Model!$C$5*(($C$10+0)+Model!$C$6*($C$11+-10)))-($C$17))/Model!$C$7)^2)/2)/SQRT(2*PI())))))/$C$18)-C47</f>
        <v>-39.6983581033262</v>
      </c>
      <c r="H47" s="30" t="n">
        <f aca="false">$C$18*D47/$C$19</f>
        <v>282.520706631913</v>
      </c>
    </row>
    <row r="48" customFormat="false" ht="15" hidden="false" customHeight="false" outlineLevel="0" collapsed="false">
      <c r="B48" s="29" t="n">
        <v>0.25</v>
      </c>
      <c r="C48" s="18" t="n">
        <f aca="false">(($K$20+$K$15*$K$21+$K$22*((Model!$C$5*(($C$10)+Model!$C$6*($C$11)))+$K$19-($B48)*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/$C$18)</f>
        <v>1159.78459873208</v>
      </c>
      <c r="D48" s="30" t="n">
        <f aca="false">(($K$20+$K$15*$K$21+$K$22*((Model!$C$5*(($C$10+10)+Model!$C$6*($C$11+0)))+$K$19-($B48)*((((Model!$C$5*(($C$10+10)+Model!$C$6*($C$11+0)))-($C$16))*NORMSDIST(((Model!$C$5*(($C$10+10)+Model!$C$6*($C$11+0)))-($C$16))/Model!$C$7)+Model!$C$7*EXP(-((((Model!$C$5*(($C$10+10)+Model!$C$6*($C$11+0)))-($C$16))/Model!$C$7)^2)/2)/SQRT(2*PI()))-(((Model!$C$5*(($C$10+10)+Model!$C$6*($C$11+0)))-($C$17))*NORMSDIST(((Model!$C$5*(($C$10+10)+Model!$C$6*($C$11+0)))-($C$17))/Model!$C$7)+Model!$C$7*EXP(-((((Model!$C$5*(($C$10+10)+Model!$C$6*($C$11+0)))-($C$17))/Model!$C$7)^2)/2)/SQRT(2*PI())))))/$C$18)-C48</f>
        <v>29.8767576490902</v>
      </c>
      <c r="E48" s="30" t="n">
        <f aca="false">(($K$20+$K$15*$K$21+$K$22*((Model!$C$5*(($C$10+-10)+Model!$C$6*($C$11+0)))+$K$19-($B48)*((((Model!$C$5*(($C$10+-10)+Model!$C$6*($C$11+0)))-($C$16))*NORMSDIST(((Model!$C$5*(($C$10+-10)+Model!$C$6*($C$11+0)))-($C$16))/Model!$C$7)+Model!$C$7*EXP(-((((Model!$C$5*(($C$10+-10)+Model!$C$6*($C$11+0)))-($C$16))/Model!$C$7)^2)/2)/SQRT(2*PI()))-(((Model!$C$5*(($C$10+-10)+Model!$C$6*($C$11+0)))-($C$17))*NORMSDIST(((Model!$C$5*(($C$10+-10)+Model!$C$6*($C$11+0)))-($C$17))/Model!$C$7)+Model!$C$7*EXP(-((((Model!$C$5*(($C$10+-10)+Model!$C$6*($C$11+0)))-($C$17))/Model!$C$7)^2)/2)/SQRT(2*PI())))))/$C$18)-C48</f>
        <v>-28.4871429862492</v>
      </c>
      <c r="F48" s="30" t="n">
        <f aca="false">(($K$20+$K$15*$K$21+$K$22*((Model!$C$5*(($C$10+0)+Model!$C$6*($C$11+10)))+$K$19-($B48)*((((Model!$C$5*(($C$10+0)+Model!$C$6*($C$11+10)))-($C$16))*NORMSDIST(((Model!$C$5*(($C$10+0)+Model!$C$6*($C$11+10)))-($C$16))/Model!$C$7)+Model!$C$7*EXP(-((((Model!$C$5*(($C$10+0)+Model!$C$6*($C$11+10)))-($C$16))/Model!$C$7)^2)/2)/SQRT(2*PI()))-(((Model!$C$5*(($C$10+0)+Model!$C$6*($C$11+10)))-($C$17))*NORMSDIST(((Model!$C$5*(($C$10+0)+Model!$C$6*($C$11+10)))-($C$17))/Model!$C$7)+Model!$C$7*EXP(-((((Model!$C$5*(($C$10+0)+Model!$C$6*($C$11+10)))-($C$17))/Model!$C$7)^2)/2)/SQRT(2*PI())))))/$C$18)-C48</f>
        <v>34.4862631898714</v>
      </c>
      <c r="G48" s="30" t="n">
        <f aca="false">(($K$20+$K$15*$K$21+$K$22*((Model!$C$5*(($C$10+0)+Model!$C$6*($C$11+-10)))+$K$19-($B48)*((((Model!$C$5*(($C$10+0)+Model!$C$6*($C$11+-10)))-($C$16))*NORMSDIST(((Model!$C$5*(($C$10+0)+Model!$C$6*($C$11+-10)))-($C$16))/Model!$C$7)+Model!$C$7*EXP(-((((Model!$C$5*(($C$10+0)+Model!$C$6*($C$11+-10)))-($C$16))/Model!$C$7)^2)/2)/SQRT(2*PI()))-(((Model!$C$5*(($C$10+0)+Model!$C$6*($C$11+-10)))-($C$17))*NORMSDIST(((Model!$C$5*(($C$10+0)+Model!$C$6*($C$11+-10)))-($C$17))/Model!$C$7)+Model!$C$7*EXP(-((((Model!$C$5*(($C$10+0)+Model!$C$6*($C$11+-10)))-($C$17))/Model!$C$7)^2)/2)/SQRT(2*PI())))))/$C$18)-C48</f>
        <v>-32.6576767441777</v>
      </c>
      <c r="H48" s="30" t="n">
        <f aca="false">$C$18*D48/$C$19</f>
        <v>244.516991359192</v>
      </c>
    </row>
    <row r="49" customFormat="false" ht="15" hidden="false" customHeight="false" outlineLevel="0" collapsed="false">
      <c r="B49" s="29" t="n">
        <v>0.5</v>
      </c>
      <c r="C49" s="18" t="n">
        <f aca="false">(($K$20+$K$15*$K$21+$K$22*((Model!$C$5*(($C$10)+Model!$C$6*($C$11)))+$K$19-($B49)*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/$C$18)</f>
        <v>1104.61676235175</v>
      </c>
      <c r="D49" s="30" t="n">
        <f aca="false">(($K$20+$K$15*$K$21+$K$22*((Model!$C$5*(($C$10+10)+Model!$C$6*($C$11+0)))+$K$19-($B49)*((((Model!$C$5*(($C$10+10)+Model!$C$6*($C$11+0)))-($C$16))*NORMSDIST(((Model!$C$5*(($C$10+10)+Model!$C$6*($C$11+0)))-($C$16))/Model!$C$7)+Model!$C$7*EXP(-((((Model!$C$5*(($C$10+10)+Model!$C$6*($C$11+0)))-($C$16))/Model!$C$7)^2)/2)/SQRT(2*PI()))-(((Model!$C$5*(($C$10+10)+Model!$C$6*($C$11+0)))-($C$17))*NORMSDIST(((Model!$C$5*(($C$10+10)+Model!$C$6*($C$11+0)))-($C$17))/Model!$C$7)+Model!$C$7*EXP(-((((Model!$C$5*(($C$10+10)+Model!$C$6*($C$11+0)))-($C$17))/Model!$C$7)^2)/2)/SQRT(2*PI())))))/$C$18)-C49</f>
        <v>25.2332039039834</v>
      </c>
      <c r="E49" s="30" t="n">
        <f aca="false">(($K$20+$K$15*$K$21+$K$22*((Model!$C$5*(($C$10+-10)+Model!$C$6*($C$11+0)))+$K$19-($B49)*((((Model!$C$5*(($C$10+-10)+Model!$C$6*($C$11+0)))-($C$16))*NORMSDIST(((Model!$C$5*(($C$10+-10)+Model!$C$6*($C$11+0)))-($C$16))/Model!$C$7)+Model!$C$7*EXP(-((((Model!$C$5*(($C$10+-10)+Model!$C$6*($C$11+0)))-($C$16))/Model!$C$7)^2)/2)/SQRT(2*PI()))-(((Model!$C$5*(($C$10+-10)+Model!$C$6*($C$11+0)))-($C$17))*NORMSDIST(((Model!$C$5*(($C$10+-10)+Model!$C$6*($C$11+0)))-($C$17))/Model!$C$7)+Model!$C$7*EXP(-((((Model!$C$5*(($C$10+-10)+Model!$C$6*($C$11+0)))-($C$17))/Model!$C$7)^2)/2)/SQRT(2*PI())))))/$C$18)-C49</f>
        <v>-22.4539745783013</v>
      </c>
      <c r="F49" s="30" t="n">
        <f aca="false">(($K$20+$K$15*$K$21+$K$22*((Model!$C$5*(($C$10+0)+Model!$C$6*($C$11+10)))+$K$19-($B49)*((((Model!$C$5*(($C$10+0)+Model!$C$6*($C$11+10)))-($C$16))*NORMSDIST(((Model!$C$5*(($C$10+0)+Model!$C$6*($C$11+10)))-($C$16))/Model!$C$7)+Model!$C$7*EXP(-((((Model!$C$5*(($C$10+0)+Model!$C$6*($C$11+10)))-($C$16))/Model!$C$7)^2)/2)/SQRT(2*PI()))-(((Model!$C$5*(($C$10+0)+Model!$C$6*($C$11+10)))-($C$17))*NORMSDIST(((Model!$C$5*(($C$10+0)+Model!$C$6*($C$11+10)))-($C$17))/Model!$C$7)+Model!$C$7*EXP(-((((Model!$C$5*(($C$10+0)+Model!$C$6*($C$11+10)))-($C$17))/Model!$C$7)^2)/2)/SQRT(2*PI())))))/$C$18)-C49</f>
        <v>29.2741682764165</v>
      </c>
      <c r="G49" s="30" t="n">
        <f aca="false">(($K$20+$K$15*$K$21+$K$22*((Model!$C$5*(($C$10+0)+Model!$C$6*($C$11+-10)))+$K$19-($B49)*((((Model!$C$5*(($C$10+0)+Model!$C$6*($C$11+-10)))-($C$16))*NORMSDIST(((Model!$C$5*(($C$10+0)+Model!$C$6*($C$11+-10)))-($C$16))/Model!$C$7)+Model!$C$7*EXP(-((((Model!$C$5*(($C$10+0)+Model!$C$6*($C$11+-10)))-($C$16))/Model!$C$7)^2)/2)/SQRT(2*PI()))-(((Model!$C$5*(($C$10+0)+Model!$C$6*($C$11+-10)))-($C$17))*NORMSDIST(((Model!$C$5*(($C$10+0)+Model!$C$6*($C$11+-10)))-($C$17))/Model!$C$7)+Model!$C$7*EXP(-((((Model!$C$5*(($C$10+0)+Model!$C$6*($C$11+-10)))-($C$17))/Model!$C$7)^2)/2)/SQRT(2*PI())))))/$C$18)-C49</f>
        <v>-25.616995385029</v>
      </c>
      <c r="H49" s="30" t="n">
        <f aca="false">$C$18*D49/$C$19</f>
        <v>206.513276086467</v>
      </c>
    </row>
    <row r="50" customFormat="false" ht="15" hidden="false" customHeight="false" outlineLevel="0" collapsed="false">
      <c r="B50" s="29" t="n">
        <v>0.65</v>
      </c>
      <c r="C50" s="18" t="n">
        <f aca="false">(($K$20+$K$15*$K$21+$K$22*((Model!$C$5*(($C$10)+Model!$C$6*($C$11)))+$K$19-($B50)*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/$C$18)</f>
        <v>1071.51606052355</v>
      </c>
      <c r="D50" s="30" t="n">
        <f aca="false">(($K$20+$K$15*$K$21+$K$22*((Model!$C$5*(($C$10+10)+Model!$C$6*($C$11+0)))+$K$19-($B50)*((((Model!$C$5*(($C$10+10)+Model!$C$6*($C$11+0)))-($C$16))*NORMSDIST(((Model!$C$5*(($C$10+10)+Model!$C$6*($C$11+0)))-($C$16))/Model!$C$7)+Model!$C$7*EXP(-((((Model!$C$5*(($C$10+10)+Model!$C$6*($C$11+0)))-($C$16))/Model!$C$7)^2)/2)/SQRT(2*PI()))-(((Model!$C$5*(($C$10+10)+Model!$C$6*($C$11+0)))-($C$17))*NORMSDIST(((Model!$C$5*(($C$10+10)+Model!$C$6*($C$11+0)))-($C$17))/Model!$C$7)+Model!$C$7*EXP(-((((Model!$C$5*(($C$10+10)+Model!$C$6*($C$11+0)))-($C$17))/Model!$C$7)^2)/2)/SQRT(2*PI())))))/$C$18)-C50</f>
        <v>22.4470716569194</v>
      </c>
      <c r="E50" s="30" t="n">
        <f aca="false">(($K$20+$K$15*$K$21+$K$22*((Model!$C$5*(($C$10+-10)+Model!$C$6*($C$11+0)))+$K$19-($B50)*((((Model!$C$5*(($C$10+-10)+Model!$C$6*($C$11+0)))-($C$16))*NORMSDIST(((Model!$C$5*(($C$10+-10)+Model!$C$6*($C$11+0)))-($C$16))/Model!$C$7)+Model!$C$7*EXP(-((((Model!$C$5*(($C$10+-10)+Model!$C$6*($C$11+0)))-($C$16))/Model!$C$7)^2)/2)/SQRT(2*PI()))-(((Model!$C$5*(($C$10+-10)+Model!$C$6*($C$11+0)))-($C$17))*NORMSDIST(((Model!$C$5*(($C$10+-10)+Model!$C$6*($C$11+0)))-($C$17))/Model!$C$7)+Model!$C$7*EXP(-((((Model!$C$5*(($C$10+-10)+Model!$C$6*($C$11+0)))-($C$17))/Model!$C$7)^2)/2)/SQRT(2*PI())))))/$C$18)-C50</f>
        <v>-18.8340735335332</v>
      </c>
      <c r="F50" s="30" t="n">
        <f aca="false">(($K$20+$K$15*$K$21+$K$22*((Model!$C$5*(($C$10+0)+Model!$C$6*($C$11+10)))+$K$19-($B50)*((((Model!$C$5*(($C$10+0)+Model!$C$6*($C$11+10)))-($C$16))*NORMSDIST(((Model!$C$5*(($C$10+0)+Model!$C$6*($C$11+10)))-($C$16))/Model!$C$7)+Model!$C$7*EXP(-((((Model!$C$5*(($C$10+0)+Model!$C$6*($C$11+10)))-($C$16))/Model!$C$7)^2)/2)/SQRT(2*PI()))-(((Model!$C$5*(($C$10+0)+Model!$C$6*($C$11+10)))-($C$17))*NORMSDIST(((Model!$C$5*(($C$10+0)+Model!$C$6*($C$11+10)))-($C$17))/Model!$C$7)+Model!$C$7*EXP(-((((Model!$C$5*(($C$10+0)+Model!$C$6*($C$11+10)))-($C$17))/Model!$C$7)^2)/2)/SQRT(2*PI())))))/$C$18)-C50</f>
        <v>26.1469113283431</v>
      </c>
      <c r="G50" s="30" t="n">
        <f aca="false">(($K$20+$K$15*$K$21+$K$22*((Model!$C$5*(($C$10+0)+Model!$C$6*($C$11+-10)))+$K$19-($B50)*((((Model!$C$5*(($C$10+0)+Model!$C$6*($C$11+-10)))-($C$16))*NORMSDIST(((Model!$C$5*(($C$10+0)+Model!$C$6*($C$11+-10)))-($C$16))/Model!$C$7)+Model!$C$7*EXP(-((((Model!$C$5*(($C$10+0)+Model!$C$6*($C$11+-10)))-($C$16))/Model!$C$7)^2)/2)/SQRT(2*PI()))-(((Model!$C$5*(($C$10+0)+Model!$C$6*($C$11+-10)))-($C$17))*NORMSDIST(((Model!$C$5*(($C$10+0)+Model!$C$6*($C$11+-10)))-($C$17))/Model!$C$7)+Model!$C$7*EXP(-((((Model!$C$5*(($C$10+0)+Model!$C$6*($C$11+-10)))-($C$17))/Model!$C$7)^2)/2)/SQRT(2*PI())))))/$C$18)-C50</f>
        <v>-21.3925865695403</v>
      </c>
      <c r="H50" s="30" t="n">
        <f aca="false">$C$18*D50/$C$19</f>
        <v>183.711046922833</v>
      </c>
    </row>
    <row r="51" customFormat="false" ht="15" hidden="false" customHeight="false" outlineLevel="0" collapsed="false">
      <c r="B51" s="29" t="n">
        <v>0.81</v>
      </c>
      <c r="C51" s="18" t="n">
        <f aca="false">(($K$20+$K$15*$K$21+$K$22*((Model!$C$5*(($C$10)+Model!$C$6*($C$11)))+$K$19-($B51)*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/$C$18)</f>
        <v>1036.20864524015</v>
      </c>
      <c r="D51" s="30" t="n">
        <f aca="false">(($K$20+$K$15*$K$21+$K$22*((Model!$C$5*(($C$10+10)+Model!$C$6*($C$11+0)))+$K$19-($B51)*((((Model!$C$5*(($C$10+10)+Model!$C$6*($C$11+0)))-($C$16))*NORMSDIST(((Model!$C$5*(($C$10+10)+Model!$C$6*($C$11+0)))-($C$16))/Model!$C$7)+Model!$C$7*EXP(-((((Model!$C$5*(($C$10+10)+Model!$C$6*($C$11+0)))-($C$16))/Model!$C$7)^2)/2)/SQRT(2*PI()))-(((Model!$C$5*(($C$10+10)+Model!$C$6*($C$11+0)))-($C$17))*NORMSDIST(((Model!$C$5*(($C$10+10)+Model!$C$6*($C$11+0)))-($C$17))/Model!$C$7)+Model!$C$7*EXP(-((((Model!$C$5*(($C$10+10)+Model!$C$6*($C$11+0)))-($C$17))/Model!$C$7)^2)/2)/SQRT(2*PI())))))/$C$18)-C51</f>
        <v>19.4751972600511</v>
      </c>
      <c r="E51" s="30" t="n">
        <f aca="false">(($K$20+$K$15*$K$21+$K$22*((Model!$C$5*(($C$10+-10)+Model!$C$6*($C$11+0)))+$K$19-($B51)*((((Model!$C$5*(($C$10+-10)+Model!$C$6*($C$11+0)))-($C$16))*NORMSDIST(((Model!$C$5*(($C$10+-10)+Model!$C$6*($C$11+0)))-($C$16))/Model!$C$7)+Model!$C$7*EXP(-((((Model!$C$5*(($C$10+-10)+Model!$C$6*($C$11+0)))-($C$16))/Model!$C$7)^2)/2)/SQRT(2*PI()))-(((Model!$C$5*(($C$10+-10)+Model!$C$6*($C$11+0)))-($C$17))*NORMSDIST(((Model!$C$5*(($C$10+-10)+Model!$C$6*($C$11+0)))-($C$17))/Model!$C$7)+Model!$C$7*EXP(-((((Model!$C$5*(($C$10+-10)+Model!$C$6*($C$11+0)))-($C$17))/Model!$C$7)^2)/2)/SQRT(2*PI())))))/$C$18)-C51</f>
        <v>-14.9728457524467</v>
      </c>
      <c r="F51" s="30" t="n">
        <f aca="false">(($K$20+$K$15*$K$21+$K$22*((Model!$C$5*(($C$10+0)+Model!$C$6*($C$11+10)))+$K$19-($B51)*((((Model!$C$5*(($C$10+0)+Model!$C$6*($C$11+10)))-($C$16))*NORMSDIST(((Model!$C$5*(($C$10+0)+Model!$C$6*($C$11+10)))-($C$16))/Model!$C$7)+Model!$C$7*EXP(-((((Model!$C$5*(($C$10+0)+Model!$C$6*($C$11+10)))-($C$16))/Model!$C$7)^2)/2)/SQRT(2*PI()))-(((Model!$C$5*(($C$10+0)+Model!$C$6*($C$11+10)))-($C$17))*NORMSDIST(((Model!$C$5*(($C$10+0)+Model!$C$6*($C$11+10)))-($C$17))/Model!$C$7)+Model!$C$7*EXP(-((((Model!$C$5*(($C$10+0)+Model!$C$6*($C$11+10)))-($C$17))/Model!$C$7)^2)/2)/SQRT(2*PI())))))/$C$18)-C51</f>
        <v>22.8111705837321</v>
      </c>
      <c r="G51" s="30" t="n">
        <f aca="false">(($K$20+$K$15*$K$21+$K$22*((Model!$C$5*(($C$10+0)+Model!$C$6*($C$11+-10)))+$K$19-($B51)*((((Model!$C$5*(($C$10+0)+Model!$C$6*($C$11+-10)))-($C$16))*NORMSDIST(((Model!$C$5*(($C$10+0)+Model!$C$6*($C$11+-10)))-($C$16))/Model!$C$7)+Model!$C$7*EXP(-((((Model!$C$5*(($C$10+0)+Model!$C$6*($C$11+-10)))-($C$16))/Model!$C$7)^2)/2)/SQRT(2*PI()))-(((Model!$C$5*(($C$10+0)+Model!$C$6*($C$11+-10)))-($C$17))*NORMSDIST(((Model!$C$5*(($C$10+0)+Model!$C$6*($C$11+-10)))-($C$17))/Model!$C$7)+Model!$C$7*EXP(-((((Model!$C$5*(($C$10+0)+Model!$C$6*($C$11+-10)))-($C$17))/Model!$C$7)^2)/2)/SQRT(2*PI())))))/$C$18)-C51</f>
        <v>-16.886550499685</v>
      </c>
      <c r="H51" s="30" t="n">
        <f aca="false">$C$18*D51/$C$19</f>
        <v>159.38866914829</v>
      </c>
    </row>
    <row r="52" customFormat="false" ht="15" hidden="false" customHeight="false" outlineLevel="0" collapsed="false">
      <c r="B52" s="29" t="n">
        <v>0.9</v>
      </c>
      <c r="C52" s="18" t="n">
        <f aca="false">(($K$20+$K$15*$K$21+$K$22*((Model!$C$5*(($C$10)+Model!$C$6*($C$11)))+$K$19-($B52)*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/$C$18)</f>
        <v>1016.34822414323</v>
      </c>
      <c r="D52" s="30" t="n">
        <f aca="false">(($K$20+$K$15*$K$21+$K$22*((Model!$C$5*(($C$10+10)+Model!$C$6*($C$11+0)))+$K$19-($B52)*((((Model!$C$5*(($C$10+10)+Model!$C$6*($C$11+0)))-($C$16))*NORMSDIST(((Model!$C$5*(($C$10+10)+Model!$C$6*($C$11+0)))-($C$16))/Model!$C$7)+Model!$C$7*EXP(-((((Model!$C$5*(($C$10+10)+Model!$C$6*($C$11+0)))-($C$16))/Model!$C$7)^2)/2)/SQRT(2*PI()))-(((Model!$C$5*(($C$10+10)+Model!$C$6*($C$11+0)))-($C$17))*NORMSDIST(((Model!$C$5*(($C$10+10)+Model!$C$6*($C$11+0)))-($C$17))/Model!$C$7)+Model!$C$7*EXP(-((((Model!$C$5*(($C$10+10)+Model!$C$6*($C$11+0)))-($C$17))/Model!$C$7)^2)/2)/SQRT(2*PI())))))/$C$18)-C52</f>
        <v>17.8035179118128</v>
      </c>
      <c r="E52" s="30" t="n">
        <f aca="false">(($K$20+$K$15*$K$21+$K$22*((Model!$C$5*(($C$10+-10)+Model!$C$6*($C$11+0)))+$K$19-($B52)*((((Model!$C$5*(($C$10+-10)+Model!$C$6*($C$11+0)))-($C$16))*NORMSDIST(((Model!$C$5*(($C$10+-10)+Model!$C$6*($C$11+0)))-($C$16))/Model!$C$7)+Model!$C$7*EXP(-((((Model!$C$5*(($C$10+-10)+Model!$C$6*($C$11+0)))-($C$16))/Model!$C$7)^2)/2)/SQRT(2*PI()))-(((Model!$C$5*(($C$10+-10)+Model!$C$6*($C$11+0)))-($C$17))*NORMSDIST(((Model!$C$5*(($C$10+-10)+Model!$C$6*($C$11+0)))-($C$17))/Model!$C$7)+Model!$C$7*EXP(-((((Model!$C$5*(($C$10+-10)+Model!$C$6*($C$11+0)))-($C$17))/Model!$C$7)^2)/2)/SQRT(2*PI())))))/$C$18)-C52</f>
        <v>-12.8009051255855</v>
      </c>
      <c r="F52" s="30" t="n">
        <f aca="false">(($K$20+$K$15*$K$21+$K$22*((Model!$C$5*(($C$10+0)+Model!$C$6*($C$11+10)))+$K$19-($B52)*((((Model!$C$5*(($C$10+0)+Model!$C$6*($C$11+10)))-($C$16))*NORMSDIST(((Model!$C$5*(($C$10+0)+Model!$C$6*($C$11+10)))-($C$16))/Model!$C$7)+Model!$C$7*EXP(-((((Model!$C$5*(($C$10+0)+Model!$C$6*($C$11+10)))-($C$16))/Model!$C$7)^2)/2)/SQRT(2*PI()))-(((Model!$C$5*(($C$10+0)+Model!$C$6*($C$11+10)))-($C$17))*NORMSDIST(((Model!$C$5*(($C$10+0)+Model!$C$6*($C$11+10)))-($C$17))/Model!$C$7)+Model!$C$7*EXP(-((((Model!$C$5*(($C$10+0)+Model!$C$6*($C$11+10)))-($C$17))/Model!$C$7)^2)/2)/SQRT(2*PI())))))/$C$18)-C52</f>
        <v>20.9348164148885</v>
      </c>
      <c r="G52" s="30" t="n">
        <f aca="false">(($K$20+$K$15*$K$21+$K$22*((Model!$C$5*(($C$10+0)+Model!$C$6*($C$11+-10)))+$K$19-($B52)*((((Model!$C$5*(($C$10+0)+Model!$C$6*($C$11+-10)))-($C$16))*NORMSDIST(((Model!$C$5*(($C$10+0)+Model!$C$6*($C$11+-10)))-($C$16))/Model!$C$7)+Model!$C$7*EXP(-((((Model!$C$5*(($C$10+0)+Model!$C$6*($C$11+-10)))-($C$16))/Model!$C$7)^2)/2)/SQRT(2*PI()))-(((Model!$C$5*(($C$10+0)+Model!$C$6*($C$11+-10)))-($C$17))*NORMSDIST(((Model!$C$5*(($C$10+0)+Model!$C$6*($C$11+-10)))-($C$17))/Model!$C$7)+Model!$C$7*EXP(-((((Model!$C$5*(($C$10+0)+Model!$C$6*($C$11+-10)))-($C$17))/Model!$C$7)^2)/2)/SQRT(2*PI())))))/$C$18)-C52</f>
        <v>-14.3519052103914</v>
      </c>
      <c r="H52" s="30" t="n">
        <f aca="false">$C$18*D52/$C$19</f>
        <v>145.70733165011</v>
      </c>
    </row>
    <row r="53" customFormat="false" ht="15" hidden="false" customHeight="false" outlineLevel="0" collapsed="false">
      <c r="B53" s="29" t="n">
        <v>1</v>
      </c>
      <c r="C53" s="18" t="n">
        <f aca="false">(($K$20+$K$15*$K$21+$K$22*((Model!$C$5*(($C$10)+Model!$C$6*($C$11)))+$K$19-($B53)*((((Model!$C$5*(($C$10)+Model!$C$6*($C$11)))-($C$16))*NORMSDIST(((Model!$C$5*(($C$10)+Model!$C$6*($C$11)))-($C$16))/Model!$C$7)+Model!$C$7*EXP(-((((Model!$C$5*(($C$10)+Model!$C$6*($C$11)))-($C$16))/Model!$C$7)^2)/2)/SQRT(2*PI()))-(((Model!$C$5*(($C$10)+Model!$C$6*($C$11)))-($C$17))*NORMSDIST(((Model!$C$5*(($C$10)+Model!$C$6*($C$11)))-($C$17))/Model!$C$7)+Model!$C$7*EXP(-((((Model!$C$5*(($C$10)+Model!$C$6*($C$11)))-($C$17))/Model!$C$7)^2)/2)/SQRT(2*PI())))))/$C$18)</f>
        <v>994.281089591097</v>
      </c>
      <c r="D53" s="30" t="n">
        <f aca="false">(($K$20+$K$15*$K$21+$K$22*((Model!$C$5*(($C$10+10)+Model!$C$6*($C$11+0)))+$K$19-($B53)*((((Model!$C$5*(($C$10+10)+Model!$C$6*($C$11+0)))-($C$16))*NORMSDIST(((Model!$C$5*(($C$10+10)+Model!$C$6*($C$11+0)))-($C$16))/Model!$C$7)+Model!$C$7*EXP(-((((Model!$C$5*(($C$10+10)+Model!$C$6*($C$11+0)))-($C$16))/Model!$C$7)^2)/2)/SQRT(2*PI()))-(((Model!$C$5*(($C$10+10)+Model!$C$6*($C$11+0)))-($C$17))*NORMSDIST(((Model!$C$5*(($C$10+10)+Model!$C$6*($C$11+0)))-($C$17))/Model!$C$7)+Model!$C$7*EXP(-((((Model!$C$5*(($C$10+10)+Model!$C$6*($C$11+0)))-($C$17))/Model!$C$7)^2)/2)/SQRT(2*PI())))))/$C$18)-C53</f>
        <v>15.9460964137702</v>
      </c>
      <c r="E53" s="30" t="n">
        <f aca="false">(($K$20+$K$15*$K$21+$K$22*((Model!$C$5*(($C$10+-10)+Model!$C$6*($C$11+0)))+$K$19-($B53)*((((Model!$C$5*(($C$10+-10)+Model!$C$6*($C$11+0)))-($C$16))*NORMSDIST(((Model!$C$5*(($C$10+-10)+Model!$C$6*($C$11+0)))-($C$16))/Model!$C$7)+Model!$C$7*EXP(-((((Model!$C$5*(($C$10+-10)+Model!$C$6*($C$11+0)))-($C$16))/Model!$C$7)^2)/2)/SQRT(2*PI()))-(((Model!$C$5*(($C$10+-10)+Model!$C$6*($C$11+0)))-($C$17))*NORMSDIST(((Model!$C$5*(($C$10+-10)+Model!$C$6*($C$11+0)))-($C$17))/Model!$C$7)+Model!$C$7*EXP(-((((Model!$C$5*(($C$10+-10)+Model!$C$6*($C$11+0)))-($C$17))/Model!$C$7)^2)/2)/SQRT(2*PI())))))/$C$18)-C53</f>
        <v>-10.3876377624063</v>
      </c>
      <c r="F53" s="30" t="n">
        <f aca="false">(($K$20+$K$15*$K$21+$K$22*((Model!$C$5*(($C$10+0)+Model!$C$6*($C$11+10)))+$K$19-($B53)*((((Model!$C$5*(($C$10+0)+Model!$C$6*($C$11+10)))-($C$16))*NORMSDIST(((Model!$C$5*(($C$10+0)+Model!$C$6*($C$11+10)))-($C$16))/Model!$C$7)+Model!$C$7*EXP(-((((Model!$C$5*(($C$10+0)+Model!$C$6*($C$11+10)))-($C$16))/Model!$C$7)^2)/2)/SQRT(2*PI()))-(((Model!$C$5*(($C$10+0)+Model!$C$6*($C$11+10)))-($C$17))*NORMSDIST(((Model!$C$5*(($C$10+0)+Model!$C$6*($C$11+10)))-($C$17))/Model!$C$7)+Model!$C$7*EXP(-((((Model!$C$5*(($C$10+0)+Model!$C$6*($C$11+10)))-($C$17))/Model!$C$7)^2)/2)/SQRT(2*PI())))))/$C$18)-C53</f>
        <v>18.8499784495065</v>
      </c>
      <c r="G53" s="30" t="n">
        <f aca="false">(($K$20+$K$15*$K$21+$K$22*((Model!$C$5*(($C$10+0)+Model!$C$6*($C$11+-10)))+$K$19-($B53)*((((Model!$C$5*(($C$10+0)+Model!$C$6*($C$11+-10)))-($C$16))*NORMSDIST(((Model!$C$5*(($C$10+0)+Model!$C$6*($C$11+-10)))-($C$16))/Model!$C$7)+Model!$C$7*EXP(-((((Model!$C$5*(($C$10+0)+Model!$C$6*($C$11+-10)))-($C$16))/Model!$C$7)^2)/2)/SQRT(2*PI()))-(((Model!$C$5*(($C$10+0)+Model!$C$6*($C$11+-10)))-($C$17))*NORMSDIST(((Model!$C$5*(($C$10+0)+Model!$C$6*($C$11+-10)))-($C$17))/Model!$C$7)+Model!$C$7*EXP(-((((Model!$C$5*(($C$10+0)+Model!$C$6*($C$11+-10)))-($C$17))/Model!$C$7)^2)/2)/SQRT(2*PI())))))/$C$18)-C53</f>
        <v>-11.535632666732</v>
      </c>
      <c r="H53" s="30" t="n">
        <f aca="false">$C$18*D53/$C$19</f>
        <v>130.505845541021</v>
      </c>
    </row>
    <row r="55" customFormat="false" ht="15" hidden="false" customHeight="false" outlineLevel="0" collapsed="false">
      <c r="B55" s="2" t="s">
        <v>59</v>
      </c>
    </row>
  </sheetData>
  <conditionalFormatting sqref="C36:G42">
    <cfRule type="colorScale" priority="2">
      <colorScale>
        <cfvo type="min" val="0"/>
        <cfvo type="percentile" val="50"/>
        <cfvo type="max" val="0"/>
        <color rgb="FF63BE7B"/>
        <color rgb="FFFFFFFF"/>
        <color rgb="FFBFBFB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10" min="3" style="0" width="12"/>
  </cols>
  <sheetData>
    <row r="1" customFormat="false" ht="17.35" hidden="false" customHeight="false" outlineLevel="0" collapsed="false">
      <c r="B1" s="1" t="s">
        <v>60</v>
      </c>
    </row>
    <row r="2" customFormat="false" ht="15" hidden="false" customHeight="false" outlineLevel="0" collapsed="false">
      <c r="B2" s="2" t="s">
        <v>61</v>
      </c>
    </row>
    <row r="4" customFormat="false" ht="15" hidden="false" customHeight="false" outlineLevel="0" collapsed="false">
      <c r="B4" s="3" t="s">
        <v>62</v>
      </c>
      <c r="C4" s="28" t="s">
        <v>63</v>
      </c>
      <c r="D4" s="28" t="s">
        <v>64</v>
      </c>
      <c r="E4" s="28" t="s">
        <v>65</v>
      </c>
      <c r="F4" s="28" t="s">
        <v>66</v>
      </c>
      <c r="G4" s="28" t="s">
        <v>67</v>
      </c>
      <c r="H4" s="28" t="s">
        <v>68</v>
      </c>
    </row>
    <row r="5" customFormat="false" ht="15" hidden="false" customHeight="false" outlineLevel="0" collapsed="false">
      <c r="B5" s="4" t="s">
        <v>69</v>
      </c>
      <c r="C5" s="5" t="n">
        <v>66.6</v>
      </c>
      <c r="D5" s="5" t="n">
        <v>70.89</v>
      </c>
      <c r="E5" s="5" t="n">
        <v>103.13</v>
      </c>
      <c r="F5" s="5" t="n">
        <v>117.29</v>
      </c>
      <c r="G5" s="5" t="n">
        <v>107.14</v>
      </c>
      <c r="H5" s="5" t="n">
        <v>85.4</v>
      </c>
    </row>
    <row r="6" customFormat="false" ht="15" hidden="false" customHeight="false" outlineLevel="0" collapsed="false">
      <c r="B6" s="4" t="s">
        <v>70</v>
      </c>
      <c r="C6" s="16" t="n">
        <v>2.031</v>
      </c>
      <c r="D6" s="16" t="n">
        <v>2.262</v>
      </c>
      <c r="E6" s="16" t="n">
        <v>3.697</v>
      </c>
      <c r="F6" s="16" t="n">
        <v>3.928</v>
      </c>
      <c r="G6" s="16" t="n">
        <v>3.943</v>
      </c>
      <c r="H6" s="16" t="n">
        <v>3.042</v>
      </c>
    </row>
    <row r="7" customFormat="false" ht="15" hidden="false" customHeight="false" outlineLevel="0" collapsed="false">
      <c r="B7" s="4" t="s">
        <v>71</v>
      </c>
      <c r="C7" s="5" t="n">
        <v>87.44</v>
      </c>
    </row>
    <row r="8" customFormat="false" ht="15" hidden="false" customHeight="false" outlineLevel="0" collapsed="false">
      <c r="B8" s="4" t="s">
        <v>72</v>
      </c>
      <c r="C8" s="31" t="n">
        <v>1133.9</v>
      </c>
    </row>
    <row r="9" customFormat="false" ht="15" hidden="false" customHeight="false" outlineLevel="0" collapsed="false">
      <c r="B9" s="4" t="s">
        <v>73</v>
      </c>
      <c r="C9" s="32" t="n">
        <f aca="false">C5*$C$7/AVERAGE($C$5:$H$5)</f>
        <v>63.4771986556454</v>
      </c>
      <c r="D9" s="32" t="n">
        <f aca="false">D5*$C$7/AVERAGE($C$5:$H$5)</f>
        <v>67.5660452357162</v>
      </c>
      <c r="E9" s="32" t="n">
        <f aca="false">E5*$C$7/AVERAGE($C$5:$H$5)</f>
        <v>98.2943468071578</v>
      </c>
      <c r="F9" s="32" t="n">
        <f aca="false">F5*$C$7/AVERAGE($C$5:$H$5)</f>
        <v>111.790399854664</v>
      </c>
      <c r="G9" s="32" t="n">
        <f aca="false">G5*$C$7/AVERAGE($C$5:$H$5)</f>
        <v>102.116322281769</v>
      </c>
      <c r="H9" s="32" t="n">
        <f aca="false">H5*$C$7/AVERAGE($C$5:$H$5)</f>
        <v>81.3956871650468</v>
      </c>
    </row>
    <row r="10" customFormat="false" ht="15" hidden="false" customHeight="false" outlineLevel="0" collapsed="false">
      <c r="B10" s="4" t="s">
        <v>74</v>
      </c>
      <c r="C10" s="18" t="n">
        <f aca="false">C6*42*Model!$C$5*$C$8/(AVERAGE($C$6:$H$6)*42*Model!$C$5)</f>
        <v>730.979495318204</v>
      </c>
      <c r="D10" s="18" t="n">
        <f aca="false">D6*42*Model!$C$5*$C$8/(AVERAGE($C$6:$H$6)*42*Model!$C$5)</f>
        <v>814.118965243612</v>
      </c>
      <c r="E10" s="18" t="n">
        <f aca="false">E6*42*Model!$C$5*$C$8/(AVERAGE($C$6:$H$6)*42*Model!$C$5)</f>
        <v>1330.59142993176</v>
      </c>
      <c r="F10" s="18" t="n">
        <f aca="false">F6*42*Model!$C$5*$C$8/(AVERAGE($C$6:$H$6)*42*Model!$C$5)</f>
        <v>1413.73089985717</v>
      </c>
      <c r="G10" s="18" t="n">
        <f aca="false">G6*42*Model!$C$5*$C$8/(AVERAGE($C$6:$H$6)*42*Model!$C$5)</f>
        <v>1419.12956673544</v>
      </c>
      <c r="H10" s="18" t="n">
        <f aca="false">H6*42*Model!$C$5*$C$8/(AVERAGE($C$6:$H$6)*42*Model!$C$5)</f>
        <v>1094.84964291382</v>
      </c>
    </row>
    <row r="11" customFormat="false" ht="15" hidden="false" customHeight="false" outlineLevel="0" collapsed="false">
      <c r="B11" s="4" t="s">
        <v>75</v>
      </c>
      <c r="C11" s="32" t="n">
        <f aca="false">C10/Model!$C$5-C9</f>
        <v>29.2866966893043</v>
      </c>
      <c r="D11" s="32" t="n">
        <f aca="false">D10/Model!$C$5-D9</f>
        <v>35.7485442622041</v>
      </c>
      <c r="E11" s="32" t="n">
        <f aca="false">E10/Model!$C$5-E9</f>
        <v>70.5624336410347</v>
      </c>
      <c r="F11" s="32" t="n">
        <f aca="false">F10/Model!$C$5-F9</f>
        <v>67.6170747464988</v>
      </c>
      <c r="G11" s="32" t="n">
        <f aca="false">G10/Model!$C$5-G9</f>
        <v>77.9762623293268</v>
      </c>
      <c r="H11" s="32" t="n">
        <f aca="false">H10/Model!$C$5-H9</f>
        <v>57.5446228493978</v>
      </c>
    </row>
    <row r="12" customFormat="false" ht="15" hidden="false" customHeight="false" outlineLevel="0" collapsed="false">
      <c r="B12" s="4" t="s">
        <v>76</v>
      </c>
      <c r="C12" s="18" t="n">
        <f aca="false">Model!$C$5*((C9)+Model!$C$6*(C11))</f>
        <v>765.596370804961</v>
      </c>
      <c r="D12" s="18" t="n">
        <f aca="false">Model!$C$5*((D9)+Model!$C$6*(D11))</f>
        <v>856.373744561538</v>
      </c>
      <c r="E12" s="18" t="n">
        <f aca="false">Model!$C$5*((E9)+Model!$C$6*(E11))</f>
        <v>1413.99622649546</v>
      </c>
      <c r="F12" s="18" t="n">
        <f aca="false">Model!$C$5*((F9)+Model!$C$6*(F11))</f>
        <v>1493.65428220753</v>
      </c>
      <c r="G12" s="18" t="n">
        <f aca="false">Model!$C$5*((G9)+Model!$C$6*(G11))</f>
        <v>1511.2975088087</v>
      </c>
      <c r="H12" s="18" t="n">
        <f aca="false">Model!$C$5*((H9)+Model!$C$6*(H11))</f>
        <v>1162.86738712181</v>
      </c>
    </row>
    <row r="13" customFormat="false" ht="15" hidden="false" customHeight="false" outlineLevel="0" collapsed="false">
      <c r="B13" s="20" t="s">
        <v>77</v>
      </c>
    </row>
    <row r="15" customFormat="false" ht="15" hidden="false" customHeight="false" outlineLevel="0" collapsed="false">
      <c r="B15" s="3" t="s">
        <v>78</v>
      </c>
    </row>
    <row r="16" customFormat="false" ht="15" hidden="false" customHeight="false" outlineLevel="0" collapsed="false">
      <c r="C16" s="28" t="s">
        <v>79</v>
      </c>
      <c r="D16" s="28" t="s">
        <v>80</v>
      </c>
      <c r="E16" s="28" t="s">
        <v>81</v>
      </c>
    </row>
    <row r="17" customFormat="false" ht="15" hidden="false" customHeight="false" outlineLevel="0" collapsed="false">
      <c r="B17" s="4" t="s">
        <v>82</v>
      </c>
      <c r="C17" s="33" t="s">
        <v>83</v>
      </c>
      <c r="D17" s="33" t="s">
        <v>84</v>
      </c>
    </row>
    <row r="18" customFormat="false" ht="15" hidden="false" customHeight="false" outlineLevel="0" collapsed="false">
      <c r="B18" s="4" t="s">
        <v>85</v>
      </c>
      <c r="C18" s="8" t="n">
        <v>853</v>
      </c>
      <c r="D18" s="8" t="n">
        <v>1263</v>
      </c>
    </row>
    <row r="19" customFormat="false" ht="15" hidden="false" customHeight="false" outlineLevel="0" collapsed="false">
      <c r="B19" s="4" t="s">
        <v>86</v>
      </c>
      <c r="C19" s="5" t="n">
        <v>2</v>
      </c>
      <c r="D19" s="5" t="n">
        <v>2.4</v>
      </c>
    </row>
    <row r="20" customFormat="false" ht="15" hidden="false" customHeight="false" outlineLevel="0" collapsed="false">
      <c r="B20" s="4" t="s">
        <v>87</v>
      </c>
      <c r="C20" s="8" t="n">
        <v>40</v>
      </c>
      <c r="D20" s="8" t="n">
        <v>50</v>
      </c>
    </row>
    <row r="21" customFormat="false" ht="15" hidden="false" customHeight="false" outlineLevel="0" collapsed="false">
      <c r="B21" s="4" t="s">
        <v>88</v>
      </c>
      <c r="C21" s="16" t="n">
        <v>1.18</v>
      </c>
      <c r="D21" s="16" t="n">
        <v>1.17</v>
      </c>
    </row>
    <row r="22" customFormat="false" ht="15" hidden="false" customHeight="false" outlineLevel="0" collapsed="false">
      <c r="B22" s="4" t="s">
        <v>89</v>
      </c>
      <c r="C22" s="15" t="n">
        <v>0.82</v>
      </c>
      <c r="D22" s="15" t="n">
        <v>0.83</v>
      </c>
    </row>
    <row r="23" customFormat="false" ht="15" hidden="false" customHeight="false" outlineLevel="0" collapsed="false">
      <c r="B23" s="4" t="s">
        <v>90</v>
      </c>
      <c r="C23" s="7" t="n">
        <v>70.6</v>
      </c>
      <c r="D23" s="7" t="n">
        <v>97.9</v>
      </c>
    </row>
    <row r="24" customFormat="false" ht="15" hidden="false" customHeight="false" outlineLevel="0" collapsed="false">
      <c r="B24" s="4" t="s">
        <v>91</v>
      </c>
      <c r="C24" s="7" t="n">
        <v>26.3</v>
      </c>
      <c r="D24" s="7" t="n">
        <v>59</v>
      </c>
    </row>
    <row r="25" customFormat="false" ht="15" hidden="false" customHeight="false" outlineLevel="0" collapsed="false">
      <c r="B25" s="4" t="s">
        <v>92</v>
      </c>
      <c r="C25" s="10" t="n">
        <v>1.1664</v>
      </c>
      <c r="D25" s="10" t="n">
        <v>1.1664</v>
      </c>
    </row>
    <row r="26" customFormat="false" ht="15" hidden="false" customHeight="false" outlineLevel="0" collapsed="false">
      <c r="B26" s="4" t="s">
        <v>93</v>
      </c>
      <c r="C26" s="8" t="n">
        <v>1570</v>
      </c>
      <c r="D26" s="8" t="n">
        <v>2606</v>
      </c>
      <c r="E26" s="18" t="n">
        <f aca="false">C26+D26</f>
        <v>4176</v>
      </c>
    </row>
    <row r="27" customFormat="false" ht="15" hidden="false" customHeight="false" outlineLevel="0" collapsed="false">
      <c r="B27" s="4" t="s">
        <v>94</v>
      </c>
      <c r="C27" s="8" t="n">
        <v>126</v>
      </c>
      <c r="D27" s="8" t="n">
        <v>459</v>
      </c>
      <c r="E27" s="18" t="n">
        <f aca="false">C27+D27</f>
        <v>585</v>
      </c>
    </row>
    <row r="29" customFormat="false" ht="15" hidden="false" customHeight="false" outlineLevel="0" collapsed="false">
      <c r="B29" s="4" t="s">
        <v>95</v>
      </c>
      <c r="C29" s="18" t="n">
        <f aca="false">C19*C18/C21+C20</f>
        <v>1485.76271186441</v>
      </c>
      <c r="D29" s="18" t="n">
        <f aca="false">D19*D18/D21+D20</f>
        <v>2640.76923076923</v>
      </c>
      <c r="E29" s="18" t="n">
        <f aca="false">C29+D29</f>
        <v>4126.53194263364</v>
      </c>
    </row>
    <row r="30" customFormat="false" ht="15" hidden="false" customHeight="false" outlineLevel="0" collapsed="false">
      <c r="B30" s="4" t="s">
        <v>96</v>
      </c>
      <c r="C30" s="18" t="n">
        <f aca="false">Model!$C$5*((C23)+Model!$C$6*(C24))</f>
        <v>794.6586</v>
      </c>
      <c r="D30" s="18" t="n">
        <f aca="false">Model!$C$5*((D23)+Model!$C$6*(D24))</f>
        <v>1306.11</v>
      </c>
    </row>
    <row r="31" customFormat="false" ht="15" hidden="false" customHeight="false" outlineLevel="0" collapsed="false">
      <c r="B31" s="4" t="s">
        <v>97</v>
      </c>
      <c r="C31" s="4" t="s">
        <v>65</v>
      </c>
      <c r="D31" s="4" t="s">
        <v>98</v>
      </c>
    </row>
    <row r="32" customFormat="false" ht="15" hidden="false" customHeight="false" outlineLevel="0" collapsed="false">
      <c r="B32" s="4" t="s">
        <v>99</v>
      </c>
      <c r="C32" s="34" t="n">
        <f aca="false">(((E$12-C30)-C22*(((((E$12)-(Model!$C$16))*NORMSDIST(((E$12)-(Model!$C$16))/Model!$C$7)+Model!$C$7*EXP(-((((E$12)-(Model!$C$16))/Model!$C$7)^2)/2)/SQRT(2*PI()))-(((E$12)-(Model!$C$17))*NORMSDIST(((E$12)-(Model!$C$17))/Model!$C$7)+Model!$C$7*EXP(-((((E$12)-(Model!$C$17))/Model!$C$7)^2)/2)/SQRT(2*PI())))-((((C30)-(Model!$C$16))*NORMSDIST(((C30)-(Model!$C$16))/Model!$C$7)+Model!$C$7*EXP(-((((C30)-(Model!$C$16))/Model!$C$7)^2)/2)/SQRT(2*PI()))-(((C30)-(Model!$C$17))*NORMSDIST(((C30)-(Model!$C$17))/Model!$C$7)+Model!$C$7*EXP(-((((C30)-(Model!$C$17))/Model!$C$7)^2)/2)/SQRT(2*PI()))))))/3</f>
        <v>85.1497342667186</v>
      </c>
      <c r="D32" s="34" t="n">
        <f aca="false">(((G$12-D30)-D22*(((((G$12)-(Model!$C$16))*NORMSDIST(((G$12)-(Model!$C$16))/Model!$C$7)+Model!$C$7*EXP(-((((G$12)-(Model!$C$16))/Model!$C$7)^2)/2)/SQRT(2*PI()))-(((G$12)-(Model!$C$17))*NORMSDIST(((G$12)-(Model!$C$17))/Model!$C$7)+Model!$C$7*EXP(-((((G$12)-(Model!$C$17))/Model!$C$7)^2)/2)/SQRT(2*PI())))-((((D30)-(Model!$C$16))*NORMSDIST(((D30)-(Model!$C$16))/Model!$C$7)+Model!$C$7*EXP(-((((D30)-(Model!$C$16))/Model!$C$7)^2)/2)/SQRT(2*PI()))-(((D30)-(Model!$C$17))*NORMSDIST(((D30)-(Model!$C$17))/Model!$C$7)+Model!$C$7*EXP(-((((D30)-(Model!$C$17))/Model!$C$7)^2)/2)/SQRT(2*PI())))))+((H$12-D30)-D22*(((((H$12)-(Model!$C$16))*NORMSDIST(((H$12)-(Model!$C$16))/Model!$C$7)+Model!$C$7*EXP(-((((H$12)-(Model!$C$16))/Model!$C$7)^2)/2)/SQRT(2*PI()))-(((H$12)-(Model!$C$17))*NORMSDIST(((H$12)-(Model!$C$17))/Model!$C$7)+Model!$C$7*EXP(-((((H$12)-(Model!$C$17))/Model!$C$7)^2)/2)/SQRT(2*PI())))-((((D30)-(Model!$C$16))*NORMSDIST(((D30)-(Model!$C$16))/Model!$C$7)+Model!$C$7*EXP(-((((D30)-(Model!$C$16))/Model!$C$7)^2)/2)/SQRT(2*PI()))-(((D30)-(Model!$C$17))*NORMSDIST(((D30)-(Model!$C$17))/Model!$C$7)+Model!$C$7*EXP(-((((D30)-(Model!$C$17))/Model!$C$7)^2)/2)/SQRT(2*PI()))))))/3</f>
        <v>29.743098922229</v>
      </c>
    </row>
    <row r="33" customFormat="false" ht="15" hidden="false" customHeight="false" outlineLevel="0" collapsed="false">
      <c r="B33" s="3" t="s">
        <v>100</v>
      </c>
      <c r="C33" s="9" t="n">
        <f aca="false">C19*(C18+C32)/C25+C20</f>
        <v>1648.62437288532</v>
      </c>
      <c r="D33" s="9" t="n">
        <f aca="false">D19*(D18+D32)/D25+D20</f>
        <v>2709.96522411981</v>
      </c>
      <c r="E33" s="9" t="n">
        <f aca="false">C33+D33</f>
        <v>4358.58959700513</v>
      </c>
    </row>
    <row r="34" customFormat="false" ht="15" hidden="false" customHeight="false" outlineLevel="0" collapsed="false">
      <c r="B34" s="4" t="s">
        <v>101</v>
      </c>
      <c r="C34" s="35" t="n">
        <f aca="false">C33-C26</f>
        <v>78.6243728853199</v>
      </c>
      <c r="D34" s="35" t="n">
        <f aca="false">D33-D26</f>
        <v>103.965224119812</v>
      </c>
      <c r="E34" s="35" t="n">
        <f aca="false">E33-E26</f>
        <v>182.589597005132</v>
      </c>
    </row>
    <row r="35" customFormat="false" ht="15" hidden="false" customHeight="false" outlineLevel="0" collapsed="false">
      <c r="B35" s="4" t="s">
        <v>102</v>
      </c>
      <c r="C35" s="36" t="n">
        <f aca="false">C34/C26</f>
        <v>0.0500792183982929</v>
      </c>
      <c r="D35" s="36" t="n">
        <f aca="false">D34/D26</f>
        <v>0.0398945602915627</v>
      </c>
      <c r="E35" s="36" t="n">
        <f aca="false">E34/E26</f>
        <v>0.043723562501229</v>
      </c>
    </row>
    <row r="36" customFormat="false" ht="15" hidden="false" customHeight="false" outlineLevel="0" collapsed="false">
      <c r="B36" s="4" t="s">
        <v>103</v>
      </c>
      <c r="C36" s="18" t="n">
        <f aca="false">C22*C19/3*((((C$12)-(Model!$C$16))*NORMSDIST(((C$12)-(Model!$C$16))/Model!$C$7)+Model!$C$7*EXP(-((((C$12)-(Model!$C$16))/Model!$C$7)^2)/2)/SQRT(2*PI()))-(((C$12)-(Model!$C$17))*NORMSDIST(((C$12)-(Model!$C$17))/Model!$C$7)+Model!$C$7*EXP(-((((C$12)-(Model!$C$17))/Model!$C$7)^2)/2)/SQRT(2*PI())))/C25+C22*C19/3*((((D$12)-(Model!$C$16))*NORMSDIST(((D$12)-(Model!$C$16))/Model!$C$7)+Model!$C$7*EXP(-((((D$12)-(Model!$C$16))/Model!$C$7)^2)/2)/SQRT(2*PI()))-(((D$12)-(Model!$C$17))*NORMSDIST(((D$12)-(Model!$C$17))/Model!$C$7)+Model!$C$7*EXP(-((((D$12)-(Model!$C$17))/Model!$C$7)^2)/2)/SQRT(2*PI())))/C25+C22*C19/3*((((E$12)-(Model!$C$16))*NORMSDIST(((E$12)-(Model!$C$16))/Model!$C$7)+Model!$C$7*EXP(-((((E$12)-(Model!$C$16))/Model!$C$7)^2)/2)/SQRT(2*PI()))-(((E$12)-(Model!$C$17))*NORMSDIST(((E$12)-(Model!$C$17))/Model!$C$7)+Model!$C$7*EXP(-((((E$12)-(Model!$C$17))/Model!$C$7)^2)/2)/SQRT(2*PI())))/C25</f>
        <v>411.186159402067</v>
      </c>
      <c r="D36" s="18" t="n">
        <f aca="false">D22*D19/3*((((F$12)-(Model!$C$16))*NORMSDIST(((F$12)-(Model!$C$16))/Model!$C$7)+Model!$C$7*EXP(-((((F$12)-(Model!$C$16))/Model!$C$7)^2)/2)/SQRT(2*PI()))-(((F$12)-(Model!$C$17))*NORMSDIST(((F$12)-(Model!$C$17))/Model!$C$7)+Model!$C$7*EXP(-((((F$12)-(Model!$C$17))/Model!$C$7)^2)/2)/SQRT(2*PI())))/D25+D22*D19/3*((((G$12)-(Model!$C$16))*NORMSDIST(((G$12)-(Model!$C$16))/Model!$C$7)+Model!$C$7*EXP(-((((G$12)-(Model!$C$16))/Model!$C$7)^2)/2)/SQRT(2*PI()))-(((G$12)-(Model!$C$17))*NORMSDIST(((G$12)-(Model!$C$17))/Model!$C$7)+Model!$C$7*EXP(-((((G$12)-(Model!$C$17))/Model!$C$7)^2)/2)/SQRT(2*PI())))/D25+D22*D19/3*((((H$12)-(Model!$C$16))*NORMSDIST(((H$12)-(Model!$C$16))/Model!$C$7)+Model!$C$7*EXP(-((((H$12)-(Model!$C$16))/Model!$C$7)^2)/2)/SQRT(2*PI()))-(((H$12)-(Model!$C$17))*NORMSDIST(((H$12)-(Model!$C$17))/Model!$C$7)+Model!$C$7*EXP(-((((H$12)-(Model!$C$17))/Model!$C$7)^2)/2)/SQRT(2*PI())))/D25</f>
        <v>934.009126520164</v>
      </c>
      <c r="E36" s="18" t="n">
        <f aca="false">C36+D36</f>
        <v>1345.19528592223</v>
      </c>
    </row>
    <row r="37" customFormat="false" ht="15" hidden="false" customHeight="false" outlineLevel="0" collapsed="false">
      <c r="B37" s="4" t="s">
        <v>104</v>
      </c>
      <c r="C37" s="21" t="n">
        <f aca="false">D36-C36</f>
        <v>522.822967118097</v>
      </c>
    </row>
    <row r="38" customFormat="false" ht="15" hidden="false" customHeight="false" outlineLevel="0" collapsed="false">
      <c r="B38" s="4" t="s">
        <v>105</v>
      </c>
      <c r="C38" s="21" t="n">
        <f aca="false">D27-C27</f>
        <v>333</v>
      </c>
    </row>
    <row r="40" customFormat="false" ht="15" hidden="false" customHeight="false" outlineLevel="0" collapsed="false">
      <c r="B40" s="3" t="s">
        <v>106</v>
      </c>
    </row>
    <row r="41" customFormat="false" ht="15" hidden="false" customHeight="false" outlineLevel="0" collapsed="false">
      <c r="B41" s="37" t="s">
        <v>107</v>
      </c>
    </row>
    <row r="42" customFormat="false" ht="15" hidden="false" customHeight="false" outlineLevel="0" collapsed="false">
      <c r="B42" s="37" t="s">
        <v>108</v>
      </c>
    </row>
    <row r="43" customFormat="false" ht="15" hidden="false" customHeight="false" outlineLevel="0" collapsed="false">
      <c r="B43" s="37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5" min="3" style="0" width="10"/>
    <col collapsed="false" customWidth="true" hidden="false" outlineLevel="0" max="6" min="6" style="0" width="24"/>
    <col collapsed="false" customWidth="true" hidden="false" outlineLevel="0" max="19" min="7" style="0" width="10"/>
  </cols>
  <sheetData>
    <row r="1" customFormat="false" ht="17.35" hidden="false" customHeight="false" outlineLevel="0" collapsed="false">
      <c r="B1" s="1" t="s">
        <v>110</v>
      </c>
    </row>
    <row r="2" customFormat="false" ht="15" hidden="false" customHeight="false" outlineLevel="0" collapsed="false">
      <c r="B2" s="2" t="s">
        <v>111</v>
      </c>
    </row>
    <row r="4" customFormat="false" ht="15" hidden="false" customHeight="false" outlineLevel="0" collapsed="false">
      <c r="B4" s="3" t="s">
        <v>112</v>
      </c>
      <c r="F4" s="3" t="s">
        <v>113</v>
      </c>
    </row>
    <row r="5" customFormat="false" ht="15" hidden="false" customHeight="false" outlineLevel="0" collapsed="false">
      <c r="B5" s="38" t="s">
        <v>114</v>
      </c>
      <c r="C5" s="38" t="s">
        <v>115</v>
      </c>
      <c r="D5" s="38" t="s">
        <v>116</v>
      </c>
      <c r="F5" s="38" t="s">
        <v>117</v>
      </c>
      <c r="G5" s="38" t="s">
        <v>118</v>
      </c>
      <c r="H5" s="38" t="s">
        <v>119</v>
      </c>
      <c r="I5" s="38" t="s">
        <v>120</v>
      </c>
    </row>
    <row r="6" customFormat="false" ht="15" hidden="false" customHeight="false" outlineLevel="0" collapsed="false">
      <c r="B6" s="3" t="s">
        <v>121</v>
      </c>
      <c r="C6" s="8" t="n">
        <v>691</v>
      </c>
      <c r="D6" s="8" t="n">
        <v>1299</v>
      </c>
      <c r="F6" s="4" t="s">
        <v>122</v>
      </c>
      <c r="G6" s="32" t="n">
        <f aca="false">SQRT(SUMSQ(R30:V38)/COUNT(R30:V38))</f>
        <v>2.545550040065</v>
      </c>
      <c r="H6" s="39" t="n">
        <f aca="false">MAX(MAX(R30:V38),-MIN(R30:V38))</f>
        <v>6.92618552757233</v>
      </c>
      <c r="I6" s="32" t="n">
        <f aca="false">SQRT(C39/COUNT(R30:V38))</f>
        <v>20.5428968511512</v>
      </c>
    </row>
    <row r="7" customFormat="false" ht="15" hidden="false" customHeight="false" outlineLevel="0" collapsed="false">
      <c r="B7" s="3" t="s">
        <v>123</v>
      </c>
      <c r="C7" s="8" t="n">
        <v>690</v>
      </c>
      <c r="D7" s="8" t="n">
        <v>1005</v>
      </c>
      <c r="F7" s="4" t="s">
        <v>124</v>
      </c>
      <c r="G7" s="32" t="n">
        <f aca="false">SQRT(SUMSQ(R55:V61)/COUNT(R55:V61))</f>
        <v>12.2078535043041</v>
      </c>
      <c r="H7" s="39" t="n">
        <f aca="false">MAX(MAX(R55:V61),-MIN(R55:V61))</f>
        <v>29.2605431673338</v>
      </c>
      <c r="I7" s="32" t="n">
        <f aca="false">SQRT(C62/COUNT(R55:V61))</f>
        <v>58.6926998989531</v>
      </c>
    </row>
    <row r="8" customFormat="false" ht="15" hidden="false" customHeight="false" outlineLevel="0" collapsed="false">
      <c r="B8" s="3" t="s">
        <v>125</v>
      </c>
      <c r="C8" s="8" t="n">
        <v>900</v>
      </c>
      <c r="D8" s="8" t="n">
        <v>1345</v>
      </c>
      <c r="F8" s="4" t="s">
        <v>126</v>
      </c>
      <c r="G8" s="32" t="n">
        <f aca="false">SQRT(SUMSQ(R78:V84)/COUNT(R78:V84))</f>
        <v>13.5358985295747</v>
      </c>
      <c r="H8" s="39" t="n">
        <f aca="false">MAX(MAX(R78:V84),-MIN(R78:V84))</f>
        <v>29.2027470899662</v>
      </c>
      <c r="I8" s="32" t="n">
        <f aca="false">SQRT(C85/COUNT(R78:V84))</f>
        <v>65.0449629571363</v>
      </c>
    </row>
    <row r="9" customFormat="false" ht="15" hidden="false" customHeight="false" outlineLevel="0" collapsed="false">
      <c r="F9" s="4" t="s">
        <v>127</v>
      </c>
      <c r="G9" s="32" t="n">
        <f aca="false">SQRT(SUMSQ(R101:V107)/COUNT(R101:V107))</f>
        <v>7.99060818248418</v>
      </c>
      <c r="H9" s="39" t="n">
        <f aca="false">MAX(MAX(R101:V107),-MIN(R101:V107))</f>
        <v>20.1568721312248</v>
      </c>
      <c r="I9" s="32" t="n">
        <f aca="false">SQRT(C108/COUNT(R101:V107))</f>
        <v>26.74163497379</v>
      </c>
    </row>
    <row r="10" customFormat="false" ht="15" hidden="false" customHeight="false" outlineLevel="0" collapsed="false">
      <c r="F10" s="4" t="s">
        <v>128</v>
      </c>
      <c r="G10" s="32" t="n">
        <f aca="false">SQRT(SUMSQ(R124:V130)/COUNT(R124:V130))</f>
        <v>3.99341824872272</v>
      </c>
      <c r="H10" s="39" t="n">
        <f aca="false">MAX(MAX(R124:V130),-MIN(R124:V130))</f>
        <v>9.67265609617516</v>
      </c>
      <c r="I10" s="32" t="n">
        <f aca="false">SQRT(C131/COUNT(R124:V130))</f>
        <v>15.8939847861055</v>
      </c>
    </row>
    <row r="11" customFormat="false" ht="15" hidden="false" customHeight="false" outlineLevel="0" collapsed="false">
      <c r="F11" s="4" t="s">
        <v>129</v>
      </c>
      <c r="G11" s="32" t="n">
        <f aca="false">SQRT(SUMSQ(R147:V153)/COUNT(R147:V153))</f>
        <v>9.67496816626581</v>
      </c>
      <c r="H11" s="39" t="n">
        <f aca="false">MAX(MAX(R147:V153),-MIN(R147:V153))</f>
        <v>23.3344546085697</v>
      </c>
      <c r="I11" s="32" t="n">
        <f aca="false">SQRT(C154/COUNT(R147:V153))</f>
        <v>43.6164751801754</v>
      </c>
    </row>
    <row r="12" customFormat="false" ht="15" hidden="false" customHeight="false" outlineLevel="0" collapsed="false">
      <c r="F12" s="4" t="s">
        <v>130</v>
      </c>
      <c r="G12" s="32" t="n">
        <f aca="false">SQRT(SUMSQ(R170:V176)/COUNT(R170:V176))</f>
        <v>10.5782303982429</v>
      </c>
      <c r="H12" s="39" t="n">
        <f aca="false">MAX(MAX(R170:V176),-MIN(R170:V176))</f>
        <v>18.9680050156421</v>
      </c>
      <c r="I12" s="32" t="n">
        <f aca="false">SQRT(C177/COUNT(R170:V176))</f>
        <v>53.5435171621667</v>
      </c>
    </row>
    <row r="13" customFormat="false" ht="15" hidden="false" customHeight="false" outlineLevel="0" collapsed="false">
      <c r="F13" s="4" t="s">
        <v>131</v>
      </c>
      <c r="G13" s="32" t="n">
        <f aca="false">SQRT(SUMSQ(R193:V199)/COUNT(R193:V199))</f>
        <v>6.30112041317889</v>
      </c>
      <c r="H13" s="39" t="n">
        <f aca="false">MAX(MAX(R193:V199),-MIN(R193:V199))</f>
        <v>13.3902987574088</v>
      </c>
      <c r="I13" s="32" t="n">
        <f aca="false">SQRT(C200/COUNT(R193:V199))</f>
        <v>35.5691460397913</v>
      </c>
    </row>
    <row r="14" customFormat="false" ht="15" hidden="false" customHeight="false" outlineLevel="0" collapsed="false">
      <c r="F14" s="3" t="s">
        <v>132</v>
      </c>
      <c r="G14" s="40" t="n">
        <f aca="false">SQRT((SUMSQ(R30:V38)+SUMSQ(R55:V61)+SUMSQ(R78:V84)+SUMSQ(R101:V107)+SUMSQ(R124:V130)+SUMSQ(R147:V153)+SUMSQ(R170:V176)+SUMSQ(R193:V199))/(COUNT(R30:V38)+COUNT(R55:V61)+COUNT(R78:V84)+COUNT(R101:V107)+COUNT(R124:V130)+COUNT(R147:V153)+COUNT(R170:V176)+COUNT(R193:V199)))</f>
        <v>8.96268234390457</v>
      </c>
      <c r="H14" s="41" t="n">
        <f aca="false">MAX(H6:H13)</f>
        <v>29.2605431673338</v>
      </c>
      <c r="I14" s="40" t="n">
        <f aca="false">SQRT((C39+C62+C85+C108+C131+C154+C177+C200)/(COUNT(R30:V38)+COUNT(R55:V61)+COUNT(R78:V84)+COUNT(R101:V107)+COUNT(R124:V130)+COUNT(R147:V153)+COUNT(R170:V176)+COUNT(R193:V199)))</f>
        <v>42.8596906228945</v>
      </c>
    </row>
    <row r="15" customFormat="false" ht="15" hidden="false" customHeight="false" outlineLevel="0" collapsed="false">
      <c r="F15" s="20" t="s">
        <v>133</v>
      </c>
    </row>
    <row r="17" customFormat="false" ht="15" hidden="false" customHeight="false" outlineLevel="0" collapsed="false">
      <c r="B17" s="42" t="s">
        <v>122</v>
      </c>
      <c r="C17" s="43" t="s">
        <v>134</v>
      </c>
    </row>
    <row r="18" customFormat="false" ht="15" hidden="false" customHeight="false" outlineLevel="0" collapsed="false">
      <c r="B18" s="4" t="s">
        <v>114</v>
      </c>
      <c r="C18" s="33" t="s">
        <v>125</v>
      </c>
    </row>
    <row r="19" customFormat="false" ht="15" hidden="false" customHeight="false" outlineLevel="0" collapsed="false">
      <c r="B19" s="4" t="s">
        <v>135</v>
      </c>
      <c r="C19" s="6" t="n">
        <v>2</v>
      </c>
    </row>
    <row r="20" customFormat="false" ht="15" hidden="false" customHeight="false" outlineLevel="0" collapsed="false">
      <c r="B20" s="4" t="s">
        <v>136</v>
      </c>
      <c r="C20" s="11" t="n">
        <f aca="false">C19/12</f>
        <v>0.166666666666667</v>
      </c>
    </row>
    <row r="21" customFormat="false" ht="15" hidden="false" customHeight="false" outlineLevel="0" collapsed="false">
      <c r="B21" s="4" t="s">
        <v>52</v>
      </c>
      <c r="C21" s="15" t="n">
        <v>0.83</v>
      </c>
    </row>
    <row r="22" customFormat="false" ht="15" hidden="false" customHeight="false" outlineLevel="0" collapsed="false">
      <c r="B22" s="4" t="s">
        <v>137</v>
      </c>
      <c r="C22" s="7" t="n">
        <v>76</v>
      </c>
    </row>
    <row r="23" customFormat="false" ht="15" hidden="false" customHeight="false" outlineLevel="0" collapsed="false">
      <c r="B23" s="4" t="s">
        <v>138</v>
      </c>
      <c r="C23" s="7" t="n">
        <v>15</v>
      </c>
    </row>
    <row r="24" customFormat="false" ht="15" hidden="false" customHeight="false" outlineLevel="0" collapsed="false">
      <c r="B24" s="4" t="s">
        <v>139</v>
      </c>
      <c r="C24" s="18" t="n">
        <f aca="false">INDEX(D30:H38,MATCH(C22,C30:C38,0),MATCH(C23,D29:H29,0))</f>
        <v>888</v>
      </c>
    </row>
    <row r="25" customFormat="false" ht="15" hidden="false" customHeight="false" outlineLevel="0" collapsed="false">
      <c r="B25" s="4" t="s">
        <v>140</v>
      </c>
      <c r="C25" s="18" t="n">
        <f aca="false">INDEX($C$6:$C$8,MATCH(C18,$B$6:$B$8,0))</f>
        <v>900</v>
      </c>
    </row>
    <row r="26" customFormat="false" ht="15" hidden="false" customHeight="false" outlineLevel="0" collapsed="false">
      <c r="B26" s="4" t="s">
        <v>141</v>
      </c>
      <c r="C26" s="18" t="n">
        <f aca="false">INDEX($D$6:$D$8,MATCH(C18,$B$6:$B$8,0))</f>
        <v>1345</v>
      </c>
    </row>
    <row r="28" customFormat="false" ht="15" hidden="false" customHeight="false" outlineLevel="0" collapsed="false">
      <c r="C28" s="3" t="s">
        <v>142</v>
      </c>
      <c r="J28" s="3" t="s">
        <v>143</v>
      </c>
      <c r="Q28" s="3" t="s">
        <v>144</v>
      </c>
    </row>
    <row r="29" customFormat="false" ht="15" hidden="false" customHeight="false" outlineLevel="0" collapsed="false">
      <c r="C29" s="44" t="s">
        <v>145</v>
      </c>
      <c r="D29" s="45" t="n">
        <v>5</v>
      </c>
      <c r="E29" s="45" t="n">
        <v>10</v>
      </c>
      <c r="F29" s="45" t="n">
        <v>15</v>
      </c>
      <c r="G29" s="45" t="n">
        <v>20</v>
      </c>
      <c r="H29" s="45" t="n">
        <v>25</v>
      </c>
      <c r="J29" s="44" t="s">
        <v>145</v>
      </c>
      <c r="K29" s="46" t="n">
        <f aca="false">D29</f>
        <v>5</v>
      </c>
      <c r="L29" s="46" t="n">
        <f aca="false">E29</f>
        <v>10</v>
      </c>
      <c r="M29" s="46" t="n">
        <f aca="false">F29</f>
        <v>15</v>
      </c>
      <c r="N29" s="46" t="n">
        <f aca="false">G29</f>
        <v>20</v>
      </c>
      <c r="O29" s="46" t="n">
        <f aca="false">H29</f>
        <v>25</v>
      </c>
      <c r="Q29" s="44" t="s">
        <v>145</v>
      </c>
      <c r="R29" s="46" t="n">
        <f aca="false">D29</f>
        <v>5</v>
      </c>
      <c r="S29" s="46" t="n">
        <f aca="false">E29</f>
        <v>10</v>
      </c>
      <c r="T29" s="46" t="n">
        <f aca="false">F29</f>
        <v>15</v>
      </c>
      <c r="U29" s="46" t="n">
        <f aca="false">G29</f>
        <v>20</v>
      </c>
      <c r="V29" s="46" t="n">
        <f aca="false">H29</f>
        <v>25</v>
      </c>
    </row>
    <row r="30" customFormat="false" ht="15" hidden="false" customHeight="false" outlineLevel="0" collapsed="false">
      <c r="C30" s="6" t="n">
        <v>126</v>
      </c>
      <c r="D30" s="47" t="n">
        <v>916</v>
      </c>
      <c r="E30" s="47" t="n">
        <v>920</v>
      </c>
      <c r="F30" s="47" t="n">
        <v>923</v>
      </c>
      <c r="G30" s="47" t="n">
        <v>928</v>
      </c>
      <c r="H30" s="47" t="n">
        <v>933</v>
      </c>
      <c r="J30" s="39" t="n">
        <f aca="false">C30</f>
        <v>126</v>
      </c>
      <c r="K30" s="27" t="n">
        <f aca="false">$C$24+$C$20*((Model!$C$5*(($C30)+Model!$C$6*(D$29)))-(Model!$C$5*(($C$22)+Model!$C$6*($C$23)))-$C$21*(((((Model!$C$5*(($C30)+Model!$C$6*(D$29)))-($C$25))*NORMSDIST(((Model!$C$5*(($C30)+Model!$C$6*(D$29)))-($C$25))/Model!$C$7)+Model!$C$7*EXP(-((((Model!$C$5*(($C30)+Model!$C$6*(D$29)))-($C$25))/Model!$C$7)^2)/2)/SQRT(2*PI()))-(((Model!$C$5*(($C30)+Model!$C$6*(D$29)))-($C$26))*NORMSDIST(((Model!$C$5*(($C30)+Model!$C$6*(D$29)))-($C$26))/Model!$C$7)+Model!$C$7*EXP(-((((Model!$C$5*(($C30)+Model!$C$6*(D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919.156498025485</v>
      </c>
      <c r="L30" s="27" t="n">
        <f aca="false">$C$24+$C$20*((Model!$C$5*(($C30)+Model!$C$6*(E$29)))-(Model!$C$5*(($C$22)+Model!$C$6*($C$23)))-$C$21*(((((Model!$C$5*(($C30)+Model!$C$6*(E$29)))-($C$25))*NORMSDIST(((Model!$C$5*(($C30)+Model!$C$6*(E$29)))-($C$25))/Model!$C$7)+Model!$C$7*EXP(-((((Model!$C$5*(($C30)+Model!$C$6*(E$29)))-($C$25))/Model!$C$7)^2)/2)/SQRT(2*PI()))-(((Model!$C$5*(($C30)+Model!$C$6*(E$29)))-($C$26))*NORMSDIST(((Model!$C$5*(($C30)+Model!$C$6*(E$29)))-($C$26))/Model!$C$7)+Model!$C$7*EXP(-((((Model!$C$5*(($C30)+Model!$C$6*(E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921.984769804441</v>
      </c>
      <c r="M30" s="27" t="n">
        <f aca="false">$C$24+$C$20*((Model!$C$5*(($C30)+Model!$C$6*(F$29)))-(Model!$C$5*(($C$22)+Model!$C$6*($C$23)))-$C$21*(((((Model!$C$5*(($C30)+Model!$C$6*(F$29)))-($C$25))*NORMSDIST(((Model!$C$5*(($C30)+Model!$C$6*(F$29)))-($C$25))/Model!$C$7)+Model!$C$7*EXP(-((((Model!$C$5*(($C30)+Model!$C$6*(F$29)))-($C$25))/Model!$C$7)^2)/2)/SQRT(2*PI()))-(((Model!$C$5*(($C30)+Model!$C$6*(F$29)))-($C$26))*NORMSDIST(((Model!$C$5*(($C30)+Model!$C$6*(F$29)))-($C$26))/Model!$C$7)+Model!$C$7*EXP(-((((Model!$C$5*(($C30)+Model!$C$6*(F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924.660256506304</v>
      </c>
      <c r="N30" s="27" t="n">
        <f aca="false">$C$24+$C$20*((Model!$C$5*(($C30)+Model!$C$6*(G$29)))-(Model!$C$5*(($C$22)+Model!$C$6*($C$23)))-$C$21*(((((Model!$C$5*(($C30)+Model!$C$6*(G$29)))-($C$25))*NORMSDIST(((Model!$C$5*(($C30)+Model!$C$6*(G$29)))-($C$25))/Model!$C$7)+Model!$C$7*EXP(-((((Model!$C$5*(($C30)+Model!$C$6*(G$29)))-($C$25))/Model!$C$7)^2)/2)/SQRT(2*PI()))-(((Model!$C$5*(($C30)+Model!$C$6*(G$29)))-($C$26))*NORMSDIST(((Model!$C$5*(($C30)+Model!$C$6*(G$29)))-($C$26))/Model!$C$7)+Model!$C$7*EXP(-((((Model!$C$5*(($C30)+Model!$C$6*(G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927.360742616174</v>
      </c>
      <c r="O30" s="27" t="n">
        <f aca="false">$C$24+$C$20*((Model!$C$5*(($C30)+Model!$C$6*(H$29)))-(Model!$C$5*(($C$22)+Model!$C$6*($C$23)))-$C$21*(((((Model!$C$5*(($C30)+Model!$C$6*(H$29)))-($C$25))*NORMSDIST(((Model!$C$5*(($C30)+Model!$C$6*(H$29)))-($C$25))/Model!$C$7)+Model!$C$7*EXP(-((((Model!$C$5*(($C30)+Model!$C$6*(H$29)))-($C$25))/Model!$C$7)^2)/2)/SQRT(2*PI()))-(((Model!$C$5*(($C30)+Model!$C$6*(H$29)))-($C$26))*NORMSDIST(((Model!$C$5*(($C30)+Model!$C$6*(H$29)))-($C$26))/Model!$C$7)+Model!$C$7*EXP(-((((Model!$C$5*(($C30)+Model!$C$6*(H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930.26169843473</v>
      </c>
      <c r="Q30" s="39" t="n">
        <f aca="false">C30</f>
        <v>126</v>
      </c>
      <c r="R30" s="48" t="n">
        <f aca="false">K30-D30</f>
        <v>3.15649802548523</v>
      </c>
      <c r="S30" s="48" t="n">
        <f aca="false">L30-E30</f>
        <v>1.98476980444116</v>
      </c>
      <c r="T30" s="48" t="n">
        <f aca="false">M30-F30</f>
        <v>1.66025650630445</v>
      </c>
      <c r="U30" s="48" t="n">
        <f aca="false">N30-G30</f>
        <v>-0.639257383825679</v>
      </c>
      <c r="V30" s="48" t="n">
        <f aca="false">O30-H30</f>
        <v>-2.73830156526969</v>
      </c>
    </row>
    <row r="31" customFormat="false" ht="15" hidden="false" customHeight="false" outlineLevel="0" collapsed="false">
      <c r="C31" s="6" t="n">
        <v>116</v>
      </c>
      <c r="D31" s="47" t="n">
        <v>910</v>
      </c>
      <c r="E31" s="47" t="n">
        <v>913</v>
      </c>
      <c r="F31" s="47" t="n">
        <v>917</v>
      </c>
      <c r="G31" s="47" t="n">
        <v>921</v>
      </c>
      <c r="H31" s="47" t="n">
        <v>925</v>
      </c>
      <c r="J31" s="39" t="n">
        <f aca="false">C31</f>
        <v>116</v>
      </c>
      <c r="K31" s="27" t="n">
        <f aca="false">$C$24+$C$20*((Model!$C$5*(($C31)+Model!$C$6*(D$29)))-(Model!$C$5*(($C$22)+Model!$C$6*($C$23)))-$C$21*(((((Model!$C$5*(($C31)+Model!$C$6*(D$29)))-($C$25))*NORMSDIST(((Model!$C$5*(($C31)+Model!$C$6*(D$29)))-($C$25))/Model!$C$7)+Model!$C$7*EXP(-((((Model!$C$5*(($C31)+Model!$C$6*(D$29)))-($C$25))/Model!$C$7)^2)/2)/SQRT(2*PI()))-(((Model!$C$5*(($C31)+Model!$C$6*(D$29)))-($C$26))*NORMSDIST(((Model!$C$5*(($C31)+Model!$C$6*(D$29)))-($C$26))/Model!$C$7)+Model!$C$7*EXP(-((((Model!$C$5*(($C31)+Model!$C$6*(D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913.403661522266</v>
      </c>
      <c r="L31" s="27" t="n">
        <f aca="false">$C$24+$C$20*((Model!$C$5*(($C31)+Model!$C$6*(E$29)))-(Model!$C$5*(($C$22)+Model!$C$6*($C$23)))-$C$21*(((((Model!$C$5*(($C31)+Model!$C$6*(E$29)))-($C$25))*NORMSDIST(((Model!$C$5*(($C31)+Model!$C$6*(E$29)))-($C$25))/Model!$C$7)+Model!$C$7*EXP(-((((Model!$C$5*(($C31)+Model!$C$6*(E$29)))-($C$25))/Model!$C$7)^2)/2)/SQRT(2*PI()))-(((Model!$C$5*(($C31)+Model!$C$6*(E$29)))-($C$26))*NORMSDIST(((Model!$C$5*(($C31)+Model!$C$6*(E$29)))-($C$26))/Model!$C$7)+Model!$C$7*EXP(-((((Model!$C$5*(($C31)+Model!$C$6*(E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916.870816831033</v>
      </c>
      <c r="M31" s="27" t="n">
        <f aca="false">$C$24+$C$20*((Model!$C$5*(($C31)+Model!$C$6*(F$29)))-(Model!$C$5*(($C$22)+Model!$C$6*($C$23)))-$C$21*(((((Model!$C$5*(($C31)+Model!$C$6*(F$29)))-($C$25))*NORMSDIST(((Model!$C$5*(($C31)+Model!$C$6*(F$29)))-($C$25))/Model!$C$7)+Model!$C$7*EXP(-((((Model!$C$5*(($C31)+Model!$C$6*(F$29)))-($C$25))/Model!$C$7)^2)/2)/SQRT(2*PI()))-(((Model!$C$5*(($C31)+Model!$C$6*(F$29)))-($C$26))*NORMSDIST(((Model!$C$5*(($C31)+Model!$C$6*(F$29)))-($C$26))/Model!$C$7)+Model!$C$7*EXP(-((((Model!$C$5*(($C31)+Model!$C$6*(F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919.918586509081</v>
      </c>
      <c r="N31" s="27" t="n">
        <f aca="false">$C$24+$C$20*((Model!$C$5*(($C31)+Model!$C$6*(G$29)))-(Model!$C$5*(($C$22)+Model!$C$6*($C$23)))-$C$21*(((((Model!$C$5*(($C31)+Model!$C$6*(G$29)))-($C$25))*NORMSDIST(((Model!$C$5*(($C31)+Model!$C$6*(G$29)))-($C$25))/Model!$C$7)+Model!$C$7*EXP(-((((Model!$C$5*(($C31)+Model!$C$6*(G$29)))-($C$25))/Model!$C$7)^2)/2)/SQRT(2*PI()))-(((Model!$C$5*(($C31)+Model!$C$6*(G$29)))-($C$26))*NORMSDIST(((Model!$C$5*(($C31)+Model!$C$6*(G$29)))-($C$26))/Model!$C$7)+Model!$C$7*EXP(-((((Model!$C$5*(($C31)+Model!$C$6*(G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922.690369184244</v>
      </c>
      <c r="O31" s="27" t="n">
        <f aca="false">$C$24+$C$20*((Model!$C$5*(($C31)+Model!$C$6*(H$29)))-(Model!$C$5*(($C$22)+Model!$C$6*($C$23)))-$C$21*(((((Model!$C$5*(($C31)+Model!$C$6*(H$29)))-($C$25))*NORMSDIST(((Model!$C$5*(($C31)+Model!$C$6*(H$29)))-($C$25))/Model!$C$7)+Model!$C$7*EXP(-((((Model!$C$5*(($C31)+Model!$C$6*(H$29)))-($C$25))/Model!$C$7)^2)/2)/SQRT(2*PI()))-(((Model!$C$5*(($C31)+Model!$C$6*(H$29)))-($C$26))*NORMSDIST(((Model!$C$5*(($C31)+Model!$C$6*(H$29)))-($C$26))/Model!$C$7)+Model!$C$7*EXP(-((((Model!$C$5*(($C31)+Model!$C$6*(H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925.355037466891</v>
      </c>
      <c r="Q31" s="39" t="n">
        <f aca="false">C31</f>
        <v>116</v>
      </c>
      <c r="R31" s="48" t="n">
        <f aca="false">K31-D31</f>
        <v>3.40366152226557</v>
      </c>
      <c r="S31" s="48" t="n">
        <f aca="false">L31-E31</f>
        <v>3.87081683103338</v>
      </c>
      <c r="T31" s="48" t="n">
        <f aca="false">M31-F31</f>
        <v>2.9185865090808</v>
      </c>
      <c r="U31" s="48" t="n">
        <f aca="false">N31-G31</f>
        <v>1.69036918424399</v>
      </c>
      <c r="V31" s="48" t="n">
        <f aca="false">O31-H31</f>
        <v>0.355037466891076</v>
      </c>
    </row>
    <row r="32" customFormat="false" ht="15" hidden="false" customHeight="false" outlineLevel="0" collapsed="false">
      <c r="C32" s="6" t="n">
        <v>106</v>
      </c>
      <c r="D32" s="47" t="n">
        <v>905</v>
      </c>
      <c r="E32" s="47" t="n">
        <v>910</v>
      </c>
      <c r="F32" s="47" t="n">
        <v>914</v>
      </c>
      <c r="G32" s="47" t="n">
        <v>918</v>
      </c>
      <c r="H32" s="47" t="n">
        <v>921</v>
      </c>
      <c r="J32" s="39" t="n">
        <f aca="false">C32</f>
        <v>106</v>
      </c>
      <c r="K32" s="27" t="n">
        <f aca="false">$C$24+$C$20*((Model!$C$5*(($C32)+Model!$C$6*(D$29)))-(Model!$C$5*(($C$22)+Model!$C$6*($C$23)))-$C$21*(((((Model!$C$5*(($C32)+Model!$C$6*(D$29)))-($C$25))*NORMSDIST(((Model!$C$5*(($C32)+Model!$C$6*(D$29)))-($C$25))/Model!$C$7)+Model!$C$7*EXP(-((((Model!$C$5*(($C32)+Model!$C$6*(D$29)))-($C$25))/Model!$C$7)^2)/2)/SQRT(2*PI()))-(((Model!$C$5*(($C32)+Model!$C$6*(D$29)))-($C$26))*NORMSDIST(((Model!$C$5*(($C32)+Model!$C$6*(D$29)))-($C$26))/Model!$C$7)+Model!$C$7*EXP(-((((Model!$C$5*(($C32)+Model!$C$6*(D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906.088237245652</v>
      </c>
      <c r="L32" s="27" t="n">
        <f aca="false">$C$24+$C$20*((Model!$C$5*(($C32)+Model!$C$6*(E$29)))-(Model!$C$5*(($C$22)+Model!$C$6*($C$23)))-$C$21*(((((Model!$C$5*(($C32)+Model!$C$6*(E$29)))-($C$25))*NORMSDIST(((Model!$C$5*(($C32)+Model!$C$6*(E$29)))-($C$25))/Model!$C$7)+Model!$C$7*EXP(-((((Model!$C$5*(($C32)+Model!$C$6*(E$29)))-($C$25))/Model!$C$7)^2)/2)/SQRT(2*PI()))-(((Model!$C$5*(($C32)+Model!$C$6*(E$29)))-($C$26))*NORMSDIST(((Model!$C$5*(($C32)+Model!$C$6*(E$29)))-($C$26))/Model!$C$7)+Model!$C$7*EXP(-((((Model!$C$5*(($C32)+Model!$C$6*(E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910.508012305903</v>
      </c>
      <c r="M32" s="27" t="n">
        <f aca="false">$C$24+$C$20*((Model!$C$5*(($C32)+Model!$C$6*(F$29)))-(Model!$C$5*(($C$22)+Model!$C$6*($C$23)))-$C$21*(((((Model!$C$5*(($C32)+Model!$C$6*(F$29)))-($C$25))*NORMSDIST(((Model!$C$5*(($C32)+Model!$C$6*(F$29)))-($C$25))/Model!$C$7)+Model!$C$7*EXP(-((((Model!$C$5*(($C32)+Model!$C$6*(F$29)))-($C$25))/Model!$C$7)^2)/2)/SQRT(2*PI()))-(((Model!$C$5*(($C32)+Model!$C$6*(F$29)))-($C$26))*NORMSDIST(((Model!$C$5*(($C32)+Model!$C$6*(F$29)))-($C$26))/Model!$C$7)+Model!$C$7*EXP(-((((Model!$C$5*(($C32)+Model!$C$6*(F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914.355217698916</v>
      </c>
      <c r="N32" s="27" t="n">
        <f aca="false">$C$24+$C$20*((Model!$C$5*(($C32)+Model!$C$6*(G$29)))-(Model!$C$5*(($C$22)+Model!$C$6*($C$23)))-$C$21*(((((Model!$C$5*(($C32)+Model!$C$6*(G$29)))-($C$25))*NORMSDIST(((Model!$C$5*(($C32)+Model!$C$6*(G$29)))-($C$25))/Model!$C$7)+Model!$C$7*EXP(-((((Model!$C$5*(($C32)+Model!$C$6*(G$29)))-($C$25))/Model!$C$7)^2)/2)/SQRT(2*PI()))-(((Model!$C$5*(($C32)+Model!$C$6*(G$29)))-($C$26))*NORMSDIST(((Model!$C$5*(($C32)+Model!$C$6*(G$29)))-($C$26))/Model!$C$7)+Model!$C$7*EXP(-((((Model!$C$5*(($C32)+Model!$C$6*(G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917.701095072816</v>
      </c>
      <c r="O32" s="27" t="n">
        <f aca="false">$C$24+$C$20*((Model!$C$5*(($C32)+Model!$C$6*(H$29)))-(Model!$C$5*(($C$22)+Model!$C$6*($C$23)))-$C$21*(((((Model!$C$5*(($C32)+Model!$C$6*(H$29)))-($C$25))*NORMSDIST(((Model!$C$5*(($C32)+Model!$C$6*(H$29)))-($C$25))/Model!$C$7)+Model!$C$7*EXP(-((((Model!$C$5*(($C32)+Model!$C$6*(H$29)))-($C$25))/Model!$C$7)^2)/2)/SQRT(2*PI()))-(((Model!$C$5*(($C32)+Model!$C$6*(H$29)))-($C$26))*NORMSDIST(((Model!$C$5*(($C32)+Model!$C$6*(H$29)))-($C$26))/Model!$C$7)+Model!$C$7*EXP(-((((Model!$C$5*(($C32)+Model!$C$6*(H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920.661756749096</v>
      </c>
      <c r="Q32" s="39" t="n">
        <f aca="false">C32</f>
        <v>106</v>
      </c>
      <c r="R32" s="48" t="n">
        <f aca="false">K32-D32</f>
        <v>1.08823724565241</v>
      </c>
      <c r="S32" s="48" t="n">
        <f aca="false">L32-E32</f>
        <v>0.508012305902639</v>
      </c>
      <c r="T32" s="48" t="n">
        <f aca="false">M32-F32</f>
        <v>0.355217698916249</v>
      </c>
      <c r="U32" s="48" t="n">
        <f aca="false">N32-G32</f>
        <v>-0.298904927184367</v>
      </c>
      <c r="V32" s="48" t="n">
        <f aca="false">O32-H32</f>
        <v>-0.33824325090427</v>
      </c>
    </row>
    <row r="33" customFormat="false" ht="15" hidden="false" customHeight="false" outlineLevel="0" collapsed="false">
      <c r="C33" s="6" t="n">
        <v>96</v>
      </c>
      <c r="D33" s="47" t="n">
        <v>897</v>
      </c>
      <c r="E33" s="47" t="n">
        <v>904</v>
      </c>
      <c r="F33" s="47" t="n">
        <v>910</v>
      </c>
      <c r="G33" s="47" t="n">
        <v>914</v>
      </c>
      <c r="H33" s="47" t="n">
        <v>918</v>
      </c>
      <c r="J33" s="39" t="n">
        <f aca="false">C33</f>
        <v>96</v>
      </c>
      <c r="K33" s="27" t="n">
        <f aca="false">$C$24+$C$20*((Model!$C$5*(($C33)+Model!$C$6*(D$29)))-(Model!$C$5*(($C$22)+Model!$C$6*($C$23)))-$C$21*(((((Model!$C$5*(($C33)+Model!$C$6*(D$29)))-($C$25))*NORMSDIST(((Model!$C$5*(($C33)+Model!$C$6*(D$29)))-($C$25))/Model!$C$7)+Model!$C$7*EXP(-((((Model!$C$5*(($C33)+Model!$C$6*(D$29)))-($C$25))/Model!$C$7)^2)/2)/SQRT(2*PI()))-(((Model!$C$5*(($C33)+Model!$C$6*(D$29)))-($C$26))*NORMSDIST(((Model!$C$5*(($C33)+Model!$C$6*(D$29)))-($C$26))/Model!$C$7)+Model!$C$7*EXP(-((((Model!$C$5*(($C33)+Model!$C$6*(D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896.995923973656</v>
      </c>
      <c r="L33" s="27" t="n">
        <f aca="false">$C$24+$C$20*((Model!$C$5*(($C33)+Model!$C$6*(E$29)))-(Model!$C$5*(($C$22)+Model!$C$6*($C$23)))-$C$21*(((((Model!$C$5*(($C33)+Model!$C$6*(E$29)))-($C$25))*NORMSDIST(((Model!$C$5*(($C33)+Model!$C$6*(E$29)))-($C$25))/Model!$C$7)+Model!$C$7*EXP(-((((Model!$C$5*(($C33)+Model!$C$6*(E$29)))-($C$25))/Model!$C$7)^2)/2)/SQRT(2*PI()))-(((Model!$C$5*(($C33)+Model!$C$6*(E$29)))-($C$26))*NORMSDIST(((Model!$C$5*(($C33)+Model!$C$6*(E$29)))-($C$26))/Model!$C$7)+Model!$C$7*EXP(-((((Model!$C$5*(($C33)+Model!$C$6*(E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902.438338916584</v>
      </c>
      <c r="M33" s="27" t="n">
        <f aca="false">$C$24+$C$20*((Model!$C$5*(($C33)+Model!$C$6*(F$29)))-(Model!$C$5*(($C$22)+Model!$C$6*($C$23)))-$C$21*(((((Model!$C$5*(($C33)+Model!$C$6*(F$29)))-($C$25))*NORMSDIST(((Model!$C$5*(($C33)+Model!$C$6*(F$29)))-($C$25))/Model!$C$7)+Model!$C$7*EXP(-((((Model!$C$5*(($C33)+Model!$C$6*(F$29)))-($C$25))/Model!$C$7)^2)/2)/SQRT(2*PI()))-(((Model!$C$5*(($C33)+Model!$C$6*(F$29)))-($C$26))*NORMSDIST(((Model!$C$5*(($C33)+Model!$C$6*(F$29)))-($C$26))/Model!$C$7)+Model!$C$7*EXP(-((((Model!$C$5*(($C33)+Model!$C$6*(F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907.298540235891</v>
      </c>
      <c r="N33" s="27" t="n">
        <f aca="false">$C$24+$C$20*((Model!$C$5*(($C33)+Model!$C$6*(G$29)))-(Model!$C$5*(($C$22)+Model!$C$6*($C$23)))-$C$21*(((((Model!$C$5*(($C33)+Model!$C$6*(G$29)))-($C$25))*NORMSDIST(((Model!$C$5*(($C33)+Model!$C$6*(G$29)))-($C$25))/Model!$C$7)+Model!$C$7*EXP(-((((Model!$C$5*(($C33)+Model!$C$6*(G$29)))-($C$25))/Model!$C$7)^2)/2)/SQRT(2*PI()))-(((Model!$C$5*(($C33)+Model!$C$6*(G$29)))-($C$26))*NORMSDIST(((Model!$C$5*(($C33)+Model!$C$6*(G$29)))-($C$26))/Model!$C$7)+Model!$C$7*EXP(-((((Model!$C$5*(($C33)+Model!$C$6*(G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911.564795184769</v>
      </c>
      <c r="O33" s="27" t="n">
        <f aca="false">$C$24+$C$20*((Model!$C$5*(($C33)+Model!$C$6*(H$29)))-(Model!$C$5*(($C$22)+Model!$C$6*($C$23)))-$C$21*(((((Model!$C$5*(($C33)+Model!$C$6*(H$29)))-($C$25))*NORMSDIST(((Model!$C$5*(($C33)+Model!$C$6*(H$29)))-($C$25))/Model!$C$7)+Model!$C$7*EXP(-((((Model!$C$5*(($C33)+Model!$C$6*(H$29)))-($C$25))/Model!$C$7)^2)/2)/SQRT(2*PI()))-(((Model!$C$5*(($C33)+Model!$C$6*(H$29)))-($C$26))*NORMSDIST(((Model!$C$5*(($C33)+Model!$C$6*(H$29)))-($C$26))/Model!$C$7)+Model!$C$7*EXP(-((((Model!$C$5*(($C33)+Model!$C$6*(H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915.272415750491</v>
      </c>
      <c r="Q33" s="39" t="n">
        <f aca="false">C33</f>
        <v>96</v>
      </c>
      <c r="R33" s="48" t="n">
        <f aca="false">K33-D33</f>
        <v>-0.00407602634436444</v>
      </c>
      <c r="S33" s="48" t="n">
        <f aca="false">L33-E33</f>
        <v>-1.56166108341563</v>
      </c>
      <c r="T33" s="48" t="n">
        <f aca="false">M33-F33</f>
        <v>-2.70145976410902</v>
      </c>
      <c r="U33" s="48" t="n">
        <f aca="false">N33-G33</f>
        <v>-2.43520481523115</v>
      </c>
      <c r="V33" s="48" t="n">
        <f aca="false">O33-H33</f>
        <v>-2.72758424950939</v>
      </c>
    </row>
    <row r="34" customFormat="false" ht="15" hidden="false" customHeight="false" outlineLevel="0" collapsed="false">
      <c r="C34" s="6" t="n">
        <v>86</v>
      </c>
      <c r="D34" s="47" t="n">
        <v>887</v>
      </c>
      <c r="E34" s="47" t="n">
        <v>894</v>
      </c>
      <c r="F34" s="47" t="n">
        <v>902</v>
      </c>
      <c r="G34" s="47" t="n">
        <v>909</v>
      </c>
      <c r="H34" s="47" t="n">
        <v>914</v>
      </c>
      <c r="J34" s="39" t="n">
        <f aca="false">C34</f>
        <v>86</v>
      </c>
      <c r="K34" s="27" t="n">
        <f aca="false">$C$24+$C$20*((Model!$C$5*(($C34)+Model!$C$6*(D$29)))-(Model!$C$5*(($C$22)+Model!$C$6*($C$23)))-$C$21*(((((Model!$C$5*(($C34)+Model!$C$6*(D$29)))-($C$25))*NORMSDIST(((Model!$C$5*(($C34)+Model!$C$6*(D$29)))-($C$25))/Model!$C$7)+Model!$C$7*EXP(-((((Model!$C$5*(($C34)+Model!$C$6*(D$29)))-($C$25))/Model!$C$7)^2)/2)/SQRT(2*PI()))-(((Model!$C$5*(($C34)+Model!$C$6*(D$29)))-($C$26))*NORMSDIST(((Model!$C$5*(($C34)+Model!$C$6*(D$29)))-($C$26))/Model!$C$7)+Model!$C$7*EXP(-((((Model!$C$5*(($C34)+Model!$C$6*(D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886.311174758558</v>
      </c>
      <c r="L34" s="27" t="n">
        <f aca="false">$C$24+$C$20*((Model!$C$5*(($C34)+Model!$C$6*(E$29)))-(Model!$C$5*(($C$22)+Model!$C$6*($C$23)))-$C$21*(((((Model!$C$5*(($C34)+Model!$C$6*(E$29)))-($C$25))*NORMSDIST(((Model!$C$5*(($C34)+Model!$C$6*(E$29)))-($C$25))/Model!$C$7)+Model!$C$7*EXP(-((((Model!$C$5*(($C34)+Model!$C$6*(E$29)))-($C$25))/Model!$C$7)^2)/2)/SQRT(2*PI()))-(((Model!$C$5*(($C34)+Model!$C$6*(E$29)))-($C$26))*NORMSDIST(((Model!$C$5*(($C34)+Model!$C$6*(E$29)))-($C$26))/Model!$C$7)+Model!$C$7*EXP(-((((Model!$C$5*(($C34)+Model!$C$6*(E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892.627907770072</v>
      </c>
      <c r="M34" s="27" t="n">
        <f aca="false">$C$24+$C$20*((Model!$C$5*(($C34)+Model!$C$6*(F$29)))-(Model!$C$5*(($C$22)+Model!$C$6*($C$23)))-$C$21*(((((Model!$C$5*(($C34)+Model!$C$6*(F$29)))-($C$25))*NORMSDIST(((Model!$C$5*(($C34)+Model!$C$6*(F$29)))-($C$25))/Model!$C$7)+Model!$C$7*EXP(-((((Model!$C$5*(($C34)+Model!$C$6*(F$29)))-($C$25))/Model!$C$7)^2)/2)/SQRT(2*PI()))-(((Model!$C$5*(($C34)+Model!$C$6*(F$29)))-($C$26))*NORMSDIST(((Model!$C$5*(($C34)+Model!$C$6*(F$29)))-($C$26))/Model!$C$7)+Model!$C$7*EXP(-((((Model!$C$5*(($C34)+Model!$C$6*(F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898.469543573601</v>
      </c>
      <c r="N34" s="27" t="n">
        <f aca="false">$C$24+$C$20*((Model!$C$5*(($C34)+Model!$C$6*(G$29)))-(Model!$C$5*(($C$22)+Model!$C$6*($C$23)))-$C$21*(((((Model!$C$5*(($C34)+Model!$C$6*(G$29)))-($C$25))*NORMSDIST(((Model!$C$5*(($C34)+Model!$C$6*(G$29)))-($C$25))/Model!$C$7)+Model!$C$7*EXP(-((((Model!$C$5*(($C34)+Model!$C$6*(G$29)))-($C$25))/Model!$C$7)^2)/2)/SQRT(2*PI()))-(((Model!$C$5*(($C34)+Model!$C$6*(G$29)))-($C$26))*NORMSDIST(((Model!$C$5*(($C34)+Model!$C$6*(G$29)))-($C$26))/Model!$C$7)+Model!$C$7*EXP(-((((Model!$C$5*(($C34)+Model!$C$6*(G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903.763599505333</v>
      </c>
      <c r="O34" s="27" t="n">
        <f aca="false">$C$24+$C$20*((Model!$C$5*(($C34)+Model!$C$6*(H$29)))-(Model!$C$5*(($C$22)+Model!$C$6*($C$23)))-$C$21*(((((Model!$C$5*(($C34)+Model!$C$6*(H$29)))-($C$25))*NORMSDIST(((Model!$C$5*(($C34)+Model!$C$6*(H$29)))-($C$25))/Model!$C$7)+Model!$C$7*EXP(-((((Model!$C$5*(($C34)+Model!$C$6*(H$29)))-($C$25))/Model!$C$7)^2)/2)/SQRT(2*PI()))-(((Model!$C$5*(($C34)+Model!$C$6*(H$29)))-($C$26))*NORMSDIST(((Model!$C$5*(($C34)+Model!$C$6*(H$29)))-($C$26))/Model!$C$7)+Model!$C$7*EXP(-((((Model!$C$5*(($C34)+Model!$C$6*(H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908.46817016291</v>
      </c>
      <c r="Q34" s="39" t="n">
        <f aca="false">C34</f>
        <v>86</v>
      </c>
      <c r="R34" s="48" t="n">
        <f aca="false">K34-D34</f>
        <v>-0.688825241442146</v>
      </c>
      <c r="S34" s="48" t="n">
        <f aca="false">L34-E34</f>
        <v>-1.37209222992806</v>
      </c>
      <c r="T34" s="48" t="n">
        <f aca="false">M34-F34</f>
        <v>-3.5304564263987</v>
      </c>
      <c r="U34" s="48" t="n">
        <f aca="false">N34-G34</f>
        <v>-5.23640049466735</v>
      </c>
      <c r="V34" s="48" t="n">
        <f aca="false">O34-H34</f>
        <v>-5.53182983709007</v>
      </c>
    </row>
    <row r="35" customFormat="false" ht="15" hidden="false" customHeight="false" outlineLevel="0" collapsed="false">
      <c r="C35" s="6" t="n">
        <v>76</v>
      </c>
      <c r="D35" s="47" t="n">
        <v>877</v>
      </c>
      <c r="E35" s="47" t="n">
        <v>882</v>
      </c>
      <c r="F35" s="47" t="n">
        <v>888</v>
      </c>
      <c r="G35" s="47" t="n">
        <v>896</v>
      </c>
      <c r="H35" s="47" t="n">
        <v>904</v>
      </c>
      <c r="J35" s="39" t="n">
        <f aca="false">C35</f>
        <v>76</v>
      </c>
      <c r="K35" s="27" t="n">
        <f aca="false">$C$24+$C$20*((Model!$C$5*(($C35)+Model!$C$6*(D$29)))-(Model!$C$5*(($C$22)+Model!$C$6*($C$23)))-$C$21*(((((Model!$C$5*(($C35)+Model!$C$6*(D$29)))-($C$25))*NORMSDIST(((Model!$C$5*(($C35)+Model!$C$6*(D$29)))-($C$25))/Model!$C$7)+Model!$C$7*EXP(-((((Model!$C$5*(($C35)+Model!$C$6*(D$29)))-($C$25))/Model!$C$7)^2)/2)/SQRT(2*PI()))-(((Model!$C$5*(($C35)+Model!$C$6*(D$29)))-($C$26))*NORMSDIST(((Model!$C$5*(($C35)+Model!$C$6*(D$29)))-($C$26))/Model!$C$7)+Model!$C$7*EXP(-((((Model!$C$5*(($C35)+Model!$C$6*(D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874.45988993176</v>
      </c>
      <c r="L35" s="27" t="n">
        <f aca="false">$C$24+$C$20*((Model!$C$5*(($C35)+Model!$C$6*(E$29)))-(Model!$C$5*(($C$22)+Model!$C$6*($C$23)))-$C$21*(((((Model!$C$5*(($C35)+Model!$C$6*(E$29)))-($C$25))*NORMSDIST(((Model!$C$5*(($C35)+Model!$C$6*(E$29)))-($C$25))/Model!$C$7)+Model!$C$7*EXP(-((((Model!$C$5*(($C35)+Model!$C$6*(E$29)))-($C$25))/Model!$C$7)^2)/2)/SQRT(2*PI()))-(((Model!$C$5*(($C35)+Model!$C$6*(E$29)))-($C$26))*NORMSDIST(((Model!$C$5*(($C35)+Model!$C$6*(E$29)))-($C$26))/Model!$C$7)+Model!$C$7*EXP(-((((Model!$C$5*(($C35)+Model!$C$6*(E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881.388913850786</v>
      </c>
      <c r="M35" s="27" t="n">
        <f aca="false">$C$24+$C$20*((Model!$C$5*(($C35)+Model!$C$6*(F$29)))-(Model!$C$5*(($C$22)+Model!$C$6*($C$23)))-$C$21*(((((Model!$C$5*(($C35)+Model!$C$6*(F$29)))-($C$25))*NORMSDIST(((Model!$C$5*(($C35)+Model!$C$6*(F$29)))-($C$25))/Model!$C$7)+Model!$C$7*EXP(-((((Model!$C$5*(($C35)+Model!$C$6*(F$29)))-($C$25))/Model!$C$7)^2)/2)/SQRT(2*PI()))-(((Model!$C$5*(($C35)+Model!$C$6*(F$29)))-($C$26))*NORMSDIST(((Model!$C$5*(($C35)+Model!$C$6*(F$29)))-($C$26))/Model!$C$7)+Model!$C$7*EXP(-((((Model!$C$5*(($C35)+Model!$C$6*(F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888</v>
      </c>
      <c r="N35" s="27" t="n">
        <f aca="false">$C$24+$C$20*((Model!$C$5*(($C35)+Model!$C$6*(G$29)))-(Model!$C$5*(($C$22)+Model!$C$6*($C$23)))-$C$21*(((((Model!$C$5*(($C35)+Model!$C$6*(G$29)))-($C$25))*NORMSDIST(((Model!$C$5*(($C35)+Model!$C$6*(G$29)))-($C$25))/Model!$C$7)+Model!$C$7*EXP(-((((Model!$C$5*(($C35)+Model!$C$6*(G$29)))-($C$25))/Model!$C$7)^2)/2)/SQRT(2*PI()))-(((Model!$C$5*(($C35)+Model!$C$6*(G$29)))-($C$26))*NORMSDIST(((Model!$C$5*(($C35)+Model!$C$6*(G$29)))-($C$26))/Model!$C$7)+Model!$C$7*EXP(-((((Model!$C$5*(($C35)+Model!$C$6*(G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894.200959576559</v>
      </c>
      <c r="O35" s="27" t="n">
        <f aca="false">$C$24+$C$20*((Model!$C$5*(($C35)+Model!$C$6*(H$29)))-(Model!$C$5*(($C$22)+Model!$C$6*($C$23)))-$C$21*(((((Model!$C$5*(($C35)+Model!$C$6*(H$29)))-($C$25))*NORMSDIST(((Model!$C$5*(($C35)+Model!$C$6*(H$29)))-($C$25))/Model!$C$7)+Model!$C$7*EXP(-((((Model!$C$5*(($C35)+Model!$C$6*(H$29)))-($C$25))/Model!$C$7)^2)/2)/SQRT(2*PI()))-(((Model!$C$5*(($C35)+Model!$C$6*(H$29)))-($C$26))*NORMSDIST(((Model!$C$5*(($C35)+Model!$C$6*(H$29)))-($C$26))/Model!$C$7)+Model!$C$7*EXP(-((((Model!$C$5*(($C35)+Model!$C$6*(H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899.905735212295</v>
      </c>
      <c r="Q35" s="39" t="n">
        <f aca="false">C35</f>
        <v>76</v>
      </c>
      <c r="R35" s="48" t="n">
        <f aca="false">K35-D35</f>
        <v>-2.54011006823987</v>
      </c>
      <c r="S35" s="48" t="n">
        <f aca="false">L35-E35</f>
        <v>-0.611086149214088</v>
      </c>
      <c r="T35" s="48" t="n">
        <f aca="false">M35-F35</f>
        <v>0</v>
      </c>
      <c r="U35" s="48" t="n">
        <f aca="false">N35-G35</f>
        <v>-1.79904042344094</v>
      </c>
      <c r="V35" s="48" t="n">
        <f aca="false">O35-H35</f>
        <v>-4.09426478770513</v>
      </c>
    </row>
    <row r="36" customFormat="false" ht="15" hidden="false" customHeight="false" outlineLevel="0" collapsed="false">
      <c r="C36" s="6" t="n">
        <v>66</v>
      </c>
      <c r="D36" s="47" t="n">
        <v>862</v>
      </c>
      <c r="E36" s="47" t="n">
        <v>870</v>
      </c>
      <c r="F36" s="47" t="n">
        <v>876</v>
      </c>
      <c r="G36" s="47" t="n">
        <v>881</v>
      </c>
      <c r="H36" s="47" t="n">
        <v>888</v>
      </c>
      <c r="J36" s="39" t="n">
        <f aca="false">C36</f>
        <v>66</v>
      </c>
      <c r="K36" s="27" t="n">
        <f aca="false">$C$24+$C$20*((Model!$C$5*(($C36)+Model!$C$6*(D$29)))-(Model!$C$5*(($C$22)+Model!$C$6*($C$23)))-$C$21*(((((Model!$C$5*(($C36)+Model!$C$6*(D$29)))-($C$25))*NORMSDIST(((Model!$C$5*(($C36)+Model!$C$6*(D$29)))-($C$25))/Model!$C$7)+Model!$C$7*EXP(-((((Model!$C$5*(($C36)+Model!$C$6*(D$29)))-($C$25))/Model!$C$7)^2)/2)/SQRT(2*PI()))-(((Model!$C$5*(($C36)+Model!$C$6*(D$29)))-($C$26))*NORMSDIST(((Model!$C$5*(($C36)+Model!$C$6*(D$29)))-($C$26))/Model!$C$7)+Model!$C$7*EXP(-((((Model!$C$5*(($C36)+Model!$C$6*(D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861.901881422797</v>
      </c>
      <c r="L36" s="27" t="n">
        <f aca="false">$C$24+$C$20*((Model!$C$5*(($C36)+Model!$C$6*(E$29)))-(Model!$C$5*(($C$22)+Model!$C$6*($C$23)))-$C$21*(((((Model!$C$5*(($C36)+Model!$C$6*(E$29)))-($C$25))*NORMSDIST(((Model!$C$5*(($C36)+Model!$C$6*(E$29)))-($C$25))/Model!$C$7)+Model!$C$7*EXP(-((((Model!$C$5*(($C36)+Model!$C$6*(E$29)))-($C$25))/Model!$C$7)^2)/2)/SQRT(2*PI()))-(((Model!$C$5*(($C36)+Model!$C$6*(E$29)))-($C$26))*NORMSDIST(((Model!$C$5*(($C36)+Model!$C$6*(E$29)))-($C$26))/Model!$C$7)+Model!$C$7*EXP(-((((Model!$C$5*(($C36)+Model!$C$6*(E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869.185347138807</v>
      </c>
      <c r="M36" s="27" t="n">
        <f aca="false">$C$24+$C$20*((Model!$C$5*(($C36)+Model!$C$6*(F$29)))-(Model!$C$5*(($C$22)+Model!$C$6*($C$23)))-$C$21*(((((Model!$C$5*(($C36)+Model!$C$6*(F$29)))-($C$25))*NORMSDIST(((Model!$C$5*(($C36)+Model!$C$6*(F$29)))-($C$25))/Model!$C$7)+Model!$C$7*EXP(-((((Model!$C$5*(($C36)+Model!$C$6*(F$29)))-($C$25))/Model!$C$7)^2)/2)/SQRT(2*PI()))-(((Model!$C$5*(($C36)+Model!$C$6*(F$29)))-($C$26))*NORMSDIST(((Model!$C$5*(($C36)+Model!$C$6*(F$29)))-($C$26))/Model!$C$7)+Model!$C$7*EXP(-((((Model!$C$5*(($C36)+Model!$C$6*(F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876.293085770196</v>
      </c>
      <c r="N36" s="27" t="n">
        <f aca="false">$C$24+$C$20*((Model!$C$5*(($C36)+Model!$C$6*(G$29)))-(Model!$C$5*(($C$22)+Model!$C$6*($C$23)))-$C$21*(((((Model!$C$5*(($C36)+Model!$C$6*(G$29)))-($C$25))*NORMSDIST(((Model!$C$5*(($C36)+Model!$C$6*(G$29)))-($C$25))/Model!$C$7)+Model!$C$7*EXP(-((((Model!$C$5*(($C36)+Model!$C$6*(G$29)))-($C$25))/Model!$C$7)^2)/2)/SQRT(2*PI()))-(((Model!$C$5*(($C36)+Model!$C$6*(G$29)))-($C$26))*NORMSDIST(((Model!$C$5*(($C36)+Model!$C$6*(G$29)))-($C$26))/Model!$C$7)+Model!$C$7*EXP(-((((Model!$C$5*(($C36)+Model!$C$6*(G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883.147913787711</v>
      </c>
      <c r="O36" s="27" t="n">
        <f aca="false">$C$24+$C$20*((Model!$C$5*(($C36)+Model!$C$6*(H$29)))-(Model!$C$5*(($C$22)+Model!$C$6*($C$23)))-$C$21*(((((Model!$C$5*(($C36)+Model!$C$6*(H$29)))-($C$25))*NORMSDIST(((Model!$C$5*(($C36)+Model!$C$6*(H$29)))-($C$25))/Model!$C$7)+Model!$C$7*EXP(-((((Model!$C$5*(($C36)+Model!$C$6*(H$29)))-($C$25))/Model!$C$7)^2)/2)/SQRT(2*PI()))-(((Model!$C$5*(($C36)+Model!$C$6*(H$29)))-($C$26))*NORMSDIST(((Model!$C$5*(($C36)+Model!$C$6*(H$29)))-($C$26))/Model!$C$7)+Model!$C$7*EXP(-((((Model!$C$5*(($C36)+Model!$C$6*(H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889.660884277965</v>
      </c>
      <c r="Q36" s="39" t="n">
        <f aca="false">C36</f>
        <v>66</v>
      </c>
      <c r="R36" s="48" t="n">
        <f aca="false">K36-D36</f>
        <v>-0.0981185772028539</v>
      </c>
      <c r="S36" s="48" t="n">
        <f aca="false">L36-E36</f>
        <v>-0.814652861193281</v>
      </c>
      <c r="T36" s="48" t="n">
        <f aca="false">M36-F36</f>
        <v>0.29308577019583</v>
      </c>
      <c r="U36" s="48" t="n">
        <f aca="false">N36-G36</f>
        <v>2.14791378771145</v>
      </c>
      <c r="V36" s="48" t="n">
        <f aca="false">O36-H36</f>
        <v>1.66088427796535</v>
      </c>
    </row>
    <row r="37" customFormat="false" ht="15" hidden="false" customHeight="false" outlineLevel="0" collapsed="false">
      <c r="C37" s="6" t="n">
        <v>56</v>
      </c>
      <c r="D37" s="47" t="n">
        <v>848</v>
      </c>
      <c r="E37" s="47" t="n">
        <v>858</v>
      </c>
      <c r="F37" s="47" t="n">
        <v>867</v>
      </c>
      <c r="G37" s="47" t="n">
        <v>874</v>
      </c>
      <c r="H37" s="47" t="n">
        <v>879</v>
      </c>
      <c r="J37" s="39" t="n">
        <f aca="false">C37</f>
        <v>56</v>
      </c>
      <c r="K37" s="27" t="n">
        <f aca="false">$C$24+$C$20*((Model!$C$5*(($C37)+Model!$C$6*(D$29)))-(Model!$C$5*(($C$22)+Model!$C$6*($C$23)))-$C$21*(((((Model!$C$5*(($C37)+Model!$C$6*(D$29)))-($C$25))*NORMSDIST(((Model!$C$5*(($C37)+Model!$C$6*(D$29)))-($C$25))/Model!$C$7)+Model!$C$7*EXP(-((((Model!$C$5*(($C37)+Model!$C$6*(D$29)))-($C$25))/Model!$C$7)^2)/2)/SQRT(2*PI()))-(((Model!$C$5*(($C37)+Model!$C$6*(D$29)))-($C$26))*NORMSDIST(((Model!$C$5*(($C37)+Model!$C$6*(D$29)))-($C$26))/Model!$C$7)+Model!$C$7*EXP(-((((Model!$C$5*(($C37)+Model!$C$6*(D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848.988372790013</v>
      </c>
      <c r="L37" s="27" t="n">
        <f aca="false">$C$24+$C$20*((Model!$C$5*(($C37)+Model!$C$6*(E$29)))-(Model!$C$5*(($C$22)+Model!$C$6*($C$23)))-$C$21*(((((Model!$C$5*(($C37)+Model!$C$6*(E$29)))-($C$25))*NORMSDIST(((Model!$C$5*(($C37)+Model!$C$6*(E$29)))-($C$25))/Model!$C$7)+Model!$C$7*EXP(-((((Model!$C$5*(($C37)+Model!$C$6*(E$29)))-($C$25))/Model!$C$7)^2)/2)/SQRT(2*PI()))-(((Model!$C$5*(($C37)+Model!$C$6*(E$29)))-($C$26))*NORMSDIST(((Model!$C$5*(($C37)+Model!$C$6*(E$29)))-($C$26))/Model!$C$7)+Model!$C$7*EXP(-((((Model!$C$5*(($C37)+Model!$C$6*(E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856.44196476912</v>
      </c>
      <c r="M37" s="27" t="n">
        <f aca="false">$C$24+$C$20*((Model!$C$5*(($C37)+Model!$C$6*(F$29)))-(Model!$C$5*(($C$22)+Model!$C$6*($C$23)))-$C$21*(((((Model!$C$5*(($C37)+Model!$C$6*(F$29)))-($C$25))*NORMSDIST(((Model!$C$5*(($C37)+Model!$C$6*(F$29)))-($C$25))/Model!$C$7)+Model!$C$7*EXP(-((((Model!$C$5*(($C37)+Model!$C$6*(F$29)))-($C$25))/Model!$C$7)^2)/2)/SQRT(2*PI()))-(((Model!$C$5*(($C37)+Model!$C$6*(F$29)))-($C$26))*NORMSDIST(((Model!$C$5*(($C37)+Model!$C$6*(F$29)))-($C$26))/Model!$C$7)+Model!$C$7*EXP(-((((Model!$C$5*(($C37)+Model!$C$6*(F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863.815145687489</v>
      </c>
      <c r="N37" s="27" t="n">
        <f aca="false">$C$24+$C$20*((Model!$C$5*(($C37)+Model!$C$6*(G$29)))-(Model!$C$5*(($C$22)+Model!$C$6*($C$23)))-$C$21*(((((Model!$C$5*(($C37)+Model!$C$6*(G$29)))-($C$25))*NORMSDIST(((Model!$C$5*(($C37)+Model!$C$6*(G$29)))-($C$25))/Model!$C$7)+Model!$C$7*EXP(-((((Model!$C$5*(($C37)+Model!$C$6*(G$29)))-($C$25))/Model!$C$7)^2)/2)/SQRT(2*PI()))-(((Model!$C$5*(($C37)+Model!$C$6*(G$29)))-($C$26))*NORMSDIST(((Model!$C$5*(($C37)+Model!$C$6*(G$29)))-($C$26))/Model!$C$7)+Model!$C$7*EXP(-((((Model!$C$5*(($C37)+Model!$C$6*(G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871.059343143868</v>
      </c>
      <c r="O37" s="27" t="n">
        <f aca="false">$C$24+$C$20*((Model!$C$5*(($C37)+Model!$C$6*(H$29)))-(Model!$C$5*(($C$22)+Model!$C$6*($C$23)))-$C$21*(((((Model!$C$5*(($C37)+Model!$C$6*(H$29)))-($C$25))*NORMSDIST(((Model!$C$5*(($C37)+Model!$C$6*(H$29)))-($C$25))/Model!$C$7)+Model!$C$7*EXP(-((((Model!$C$5*(($C37)+Model!$C$6*(H$29)))-($C$25))/Model!$C$7)^2)/2)/SQRT(2*PI()))-(((Model!$C$5*(($C37)+Model!$C$6*(H$29)))-($C$26))*NORMSDIST(((Model!$C$5*(($C37)+Model!$C$6*(H$29)))-($C$26))/Model!$C$7)+Model!$C$7*EXP(-((((Model!$C$5*(($C37)+Model!$C$6*(H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878.109135697073</v>
      </c>
      <c r="Q37" s="39" t="n">
        <f aca="false">C37</f>
        <v>56</v>
      </c>
      <c r="R37" s="48" t="n">
        <f aca="false">K37-D37</f>
        <v>0.988372790012818</v>
      </c>
      <c r="S37" s="48" t="n">
        <f aca="false">L37-E37</f>
        <v>-1.55803523088036</v>
      </c>
      <c r="T37" s="48" t="n">
        <f aca="false">M37-F37</f>
        <v>-3.18485431251077</v>
      </c>
      <c r="U37" s="48" t="n">
        <f aca="false">N37-G37</f>
        <v>-2.9406568561318</v>
      </c>
      <c r="V37" s="48" t="n">
        <f aca="false">O37-H37</f>
        <v>-0.890864302926843</v>
      </c>
    </row>
    <row r="38" customFormat="false" ht="15" hidden="false" customHeight="false" outlineLevel="0" collapsed="false">
      <c r="C38" s="6" t="n">
        <v>46</v>
      </c>
      <c r="D38" s="47" t="n">
        <v>829</v>
      </c>
      <c r="E38" s="47" t="n">
        <v>839</v>
      </c>
      <c r="F38" s="47" t="n">
        <v>849</v>
      </c>
      <c r="G38" s="47" t="n">
        <v>858</v>
      </c>
      <c r="H38" s="47" t="n">
        <v>867</v>
      </c>
      <c r="J38" s="39" t="n">
        <f aca="false">C38</f>
        <v>46</v>
      </c>
      <c r="K38" s="27" t="n">
        <f aca="false">$C$24+$C$20*((Model!$C$5*(($C38)+Model!$C$6*(D$29)))-(Model!$C$5*(($C$22)+Model!$C$6*($C$23)))-$C$21*(((((Model!$C$5*(($C38)+Model!$C$6*(D$29)))-($C$25))*NORMSDIST(((Model!$C$5*(($C38)+Model!$C$6*(D$29)))-($C$25))/Model!$C$7)+Model!$C$7*EXP(-((((Model!$C$5*(($C38)+Model!$C$6*(D$29)))-($C$25))/Model!$C$7)^2)/2)/SQRT(2*PI()))-(((Model!$C$5*(($C38)+Model!$C$6*(D$29)))-($C$26))*NORMSDIST(((Model!$C$5*(($C38)+Model!$C$6*(D$29)))-($C$26))/Model!$C$7)+Model!$C$7*EXP(-((((Model!$C$5*(($C38)+Model!$C$6*(D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835.926185527572</v>
      </c>
      <c r="L38" s="27" t="n">
        <f aca="false">$C$24+$C$20*((Model!$C$5*(($C38)+Model!$C$6*(E$29)))-(Model!$C$5*(($C$22)+Model!$C$6*($C$23)))-$C$21*(((((Model!$C$5*(($C38)+Model!$C$6*(E$29)))-($C$25))*NORMSDIST(((Model!$C$5*(($C38)+Model!$C$6*(E$29)))-($C$25))/Model!$C$7)+Model!$C$7*EXP(-((((Model!$C$5*(($C38)+Model!$C$6*(E$29)))-($C$25))/Model!$C$7)^2)/2)/SQRT(2*PI()))-(((Model!$C$5*(($C38)+Model!$C$6*(E$29)))-($C$26))*NORMSDIST(((Model!$C$5*(($C38)+Model!$C$6*(E$29)))-($C$26))/Model!$C$7)+Model!$C$7*EXP(-((((Model!$C$5*(($C38)+Model!$C$6*(E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843.447555520658</v>
      </c>
      <c r="M38" s="27" t="n">
        <f aca="false">$C$24+$C$20*((Model!$C$5*(($C38)+Model!$C$6*(F$29)))-(Model!$C$5*(($C$22)+Model!$C$6*($C$23)))-$C$21*(((((Model!$C$5*(($C38)+Model!$C$6*(F$29)))-($C$25))*NORMSDIST(((Model!$C$5*(($C38)+Model!$C$6*(F$29)))-($C$25))/Model!$C$7)+Model!$C$7*EXP(-((((Model!$C$5*(($C38)+Model!$C$6*(F$29)))-($C$25))/Model!$C$7)^2)/2)/SQRT(2*PI()))-(((Model!$C$5*(($C38)+Model!$C$6*(F$29)))-($C$26))*NORMSDIST(((Model!$C$5*(($C38)+Model!$C$6*(F$29)))-($C$26))/Model!$C$7)+Model!$C$7*EXP(-((((Model!$C$5*(($C38)+Model!$C$6*(F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850.938437459703</v>
      </c>
      <c r="N38" s="27" t="n">
        <f aca="false">$C$24+$C$20*((Model!$C$5*(($C38)+Model!$C$6*(G$29)))-(Model!$C$5*(($C$22)+Model!$C$6*($C$23)))-$C$21*(((((Model!$C$5*(($C38)+Model!$C$6*(G$29)))-($C$25))*NORMSDIST(((Model!$C$5*(($C38)+Model!$C$6*(G$29)))-($C$25))/Model!$C$7)+Model!$C$7*EXP(-((((Model!$C$5*(($C38)+Model!$C$6*(G$29)))-($C$25))/Model!$C$7)^2)/2)/SQRT(2*PI()))-(((Model!$C$5*(($C38)+Model!$C$6*(G$29)))-($C$26))*NORMSDIST(((Model!$C$5*(($C38)+Model!$C$6*(G$29)))-($C$26))/Model!$C$7)+Model!$C$7*EXP(-((((Model!$C$5*(($C38)+Model!$C$6*(G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858.374834013249</v>
      </c>
      <c r="O38" s="27" t="n">
        <f aca="false">$C$24+$C$20*((Model!$C$5*(($C38)+Model!$C$6*(H$29)))-(Model!$C$5*(($C$22)+Model!$C$6*($C$23)))-$C$21*(((((Model!$C$5*(($C38)+Model!$C$6*(H$29)))-($C$25))*NORMSDIST(((Model!$C$5*(($C38)+Model!$C$6*(H$29)))-($C$25))/Model!$C$7)+Model!$C$7*EXP(-((((Model!$C$5*(($C38)+Model!$C$6*(H$29)))-($C$25))/Model!$C$7)^2)/2)/SQRT(2*PI()))-(((Model!$C$5*(($C38)+Model!$C$6*(H$29)))-($C$26))*NORMSDIST(((Model!$C$5*(($C38)+Model!$C$6*(H$29)))-($C$26))/Model!$C$7)+Model!$C$7*EXP(-((((Model!$C$5*(($C38)+Model!$C$6*(H$29)))-($C$26))/Model!$C$7)^2)/2)/SQRT(2*PI())))-((((Model!$C$5*(($C$22)+Model!$C$6*($C$23)))-($C$25))*NORMSDIST(((Model!$C$5*(($C$22)+Model!$C$6*($C$23)))-($C$25))/Model!$C$7)+Model!$C$7*EXP(-((((Model!$C$5*(($C$22)+Model!$C$6*($C$23)))-($C$25))/Model!$C$7)^2)/2)/SQRT(2*PI()))-(((Model!$C$5*(($C$22)+Model!$C$6*($C$23)))-($C$26))*NORMSDIST(((Model!$C$5*(($C$22)+Model!$C$6*($C$23)))-($C$26))/Model!$C$7)+Model!$C$7*EXP(-((((Model!$C$5*(($C$22)+Model!$C$6*($C$23)))-($C$26))/Model!$C$7)^2)/2)/SQRT(2*PI())))))</f>
        <v>865.719723401799</v>
      </c>
      <c r="Q38" s="39" t="n">
        <f aca="false">C38</f>
        <v>46</v>
      </c>
      <c r="R38" s="48" t="n">
        <f aca="false">K38-D38</f>
        <v>6.92618552757233</v>
      </c>
      <c r="S38" s="48" t="n">
        <f aca="false">L38-E38</f>
        <v>4.44755552065817</v>
      </c>
      <c r="T38" s="48" t="n">
        <f aca="false">M38-F38</f>
        <v>1.93843745970321</v>
      </c>
      <c r="U38" s="48" t="n">
        <f aca="false">N38-G38</f>
        <v>0.374834013249142</v>
      </c>
      <c r="V38" s="48" t="n">
        <f aca="false">O38-H38</f>
        <v>-1.28027659820089</v>
      </c>
    </row>
    <row r="39" customFormat="false" ht="15" hidden="false" customHeight="false" outlineLevel="0" collapsed="false">
      <c r="B39" s="49" t="s">
        <v>146</v>
      </c>
      <c r="C39" s="50" t="n">
        <f aca="false">($C$24+$C$20*(1-$C$21)*Model!$C$5*((C30-$C$22)+(D29-$C$23))-D30)^2+($C$24+$C$20*(1-$C$21)*Model!$C$5*((C30-$C$22)+(E29-$C$23))-E30)^2+($C$24+$C$20*(1-$C$21)*Model!$C$5*((C30-$C$22)+(F29-$C$23))-F30)^2+($C$24+$C$20*(1-$C$21)*Model!$C$5*((C30-$C$22)+(G29-$C$23))-G30)^2+($C$24+$C$20*(1-$C$21)*Model!$C$5*((C30-$C$22)+(H29-$C$23))-H30)^2+($C$24+$C$20*(1-$C$21)*Model!$C$5*((C31-$C$22)+(D29-$C$23))-D31)^2+($C$24+$C$20*(1-$C$21)*Model!$C$5*((C31-$C$22)+(E29-$C$23))-E31)^2+($C$24+$C$20*(1-$C$21)*Model!$C$5*((C31-$C$22)+(F29-$C$23))-F31)^2+($C$24+$C$20*(1-$C$21)*Model!$C$5*((C31-$C$22)+(G29-$C$23))-G31)^2+($C$24+$C$20*(1-$C$21)*Model!$C$5*((C31-$C$22)+(H29-$C$23))-H31)^2+($C$24+$C$20*(1-$C$21)*Model!$C$5*((C32-$C$22)+(D29-$C$23))-D32)^2+($C$24+$C$20*(1-$C$21)*Model!$C$5*((C32-$C$22)+(E29-$C$23))-E32)^2+($C$24+$C$20*(1-$C$21)*Model!$C$5*((C32-$C$22)+(F29-$C$23))-F32)^2+($C$24+$C$20*(1-$C$21)*Model!$C$5*((C32-$C$22)+(G29-$C$23))-G32)^2+($C$24+$C$20*(1-$C$21)*Model!$C$5*((C32-$C$22)+(H29-$C$23))-H32)^2+($C$24+$C$20*(1-$C$21)*Model!$C$5*((C33-$C$22)+(D29-$C$23))-D33)^2+($C$24+$C$20*(1-$C$21)*Model!$C$5*((C33-$C$22)+(E29-$C$23))-E33)^2+($C$24+$C$20*(1-$C$21)*Model!$C$5*((C33-$C$22)+(F29-$C$23))-F33)^2+($C$24+$C$20*(1-$C$21)*Model!$C$5*((C33-$C$22)+(G29-$C$23))-G33)^2+($C$24+$C$20*(1-$C$21)*Model!$C$5*((C33-$C$22)+(H29-$C$23))-H33)^2+($C$24+$C$20*(1-$C$21)*Model!$C$5*((C34-$C$22)+(D29-$C$23))-D34)^2+($C$24+$C$20*(1-$C$21)*Model!$C$5*((C34-$C$22)+(E29-$C$23))-E34)^2+($C$24+$C$20*(1-$C$21)*Model!$C$5*((C34-$C$22)+(F29-$C$23))-F34)^2+($C$24+$C$20*(1-$C$21)*Model!$C$5*((C34-$C$22)+(G29-$C$23))-G34)^2+($C$24+$C$20*(1-$C$21)*Model!$C$5*((C34-$C$22)+(H29-$C$23))-H34)^2+($C$24+$C$20*(1-$C$21)*Model!$C$5*((C35-$C$22)+(D29-$C$23))-D35)^2+($C$24+$C$20*(1-$C$21)*Model!$C$5*((C35-$C$22)+(E29-$C$23))-E35)^2+($C$24+$C$20*(1-$C$21)*Model!$C$5*((C35-$C$22)+(F29-$C$23))-F35)^2+($C$24+$C$20*(1-$C$21)*Model!$C$5*((C35-$C$22)+(G29-$C$23))-G35)^2+($C$24+$C$20*(1-$C$21)*Model!$C$5*((C35-$C$22)+(H29-$C$23))-H35)^2+($C$24+$C$20*(1-$C$21)*Model!$C$5*((C36-$C$22)+(D29-$C$23))-D36)^2+($C$24+$C$20*(1-$C$21)*Model!$C$5*((C36-$C$22)+(E29-$C$23))-E36)^2+($C$24+$C$20*(1-$C$21)*Model!$C$5*((C36-$C$22)+(F29-$C$23))-F36)^2+($C$24+$C$20*(1-$C$21)*Model!$C$5*((C36-$C$22)+(G29-$C$23))-G36)^2+($C$24+$C$20*(1-$C$21)*Model!$C$5*((C36-$C$22)+(H29-$C$23))-H36)^2+($C$24+$C$20*(1-$C$21)*Model!$C$5*((C37-$C$22)+(D29-$C$23))-D37)^2+($C$24+$C$20*(1-$C$21)*Model!$C$5*((C37-$C$22)+(E29-$C$23))-E37)^2+($C$24+$C$20*(1-$C$21)*Model!$C$5*((C37-$C$22)+(F29-$C$23))-F37)^2+($C$24+$C$20*(1-$C$21)*Model!$C$5*((C37-$C$22)+(G29-$C$23))-G37)^2+($C$24+$C$20*(1-$C$21)*Model!$C$5*((C37-$C$22)+(H29-$C$23))-H37)^2+($C$24+$C$20*(1-$C$21)*Model!$C$5*((C38-$C$22)+(D29-$C$23))-D38)^2+($C$24+$C$20*(1-$C$21)*Model!$C$5*((C38-$C$22)+(E29-$C$23))-E38)^2+($C$24+$C$20*(1-$C$21)*Model!$C$5*((C38-$C$22)+(F29-$C$23))-F38)^2+($C$24+$C$20*(1-$C$21)*Model!$C$5*((C38-$C$22)+(G29-$C$23))-G38)^2+($C$24+$C$20*(1-$C$21)*Model!$C$5*((C38-$C$22)+(H29-$C$23))-H38)^2</f>
        <v>18990.4774966667</v>
      </c>
    </row>
    <row r="42" customFormat="false" ht="15" hidden="false" customHeight="false" outlineLevel="0" collapsed="false">
      <c r="B42" s="42" t="s">
        <v>124</v>
      </c>
      <c r="C42" s="43" t="s">
        <v>147</v>
      </c>
    </row>
    <row r="43" customFormat="false" ht="15" hidden="false" customHeight="false" outlineLevel="0" collapsed="false">
      <c r="B43" s="4" t="s">
        <v>114</v>
      </c>
      <c r="C43" s="33" t="s">
        <v>123</v>
      </c>
    </row>
    <row r="44" customFormat="false" ht="15" hidden="false" customHeight="false" outlineLevel="0" collapsed="false">
      <c r="B44" s="4" t="s">
        <v>135</v>
      </c>
      <c r="C44" s="6" t="n">
        <v>10</v>
      </c>
    </row>
    <row r="45" customFormat="false" ht="15" hidden="false" customHeight="false" outlineLevel="0" collapsed="false">
      <c r="B45" s="4" t="s">
        <v>136</v>
      </c>
      <c r="C45" s="11" t="n">
        <f aca="false">C44/12</f>
        <v>0.833333333333333</v>
      </c>
    </row>
    <row r="46" customFormat="false" ht="15" hidden="false" customHeight="false" outlineLevel="0" collapsed="false">
      <c r="B46" s="4" t="s">
        <v>52</v>
      </c>
      <c r="C46" s="15" t="n">
        <v>0.79</v>
      </c>
    </row>
    <row r="47" customFormat="false" ht="15" hidden="false" customHeight="false" outlineLevel="0" collapsed="false">
      <c r="B47" s="4" t="s">
        <v>137</v>
      </c>
      <c r="C47" s="7" t="n">
        <v>71</v>
      </c>
    </row>
    <row r="48" customFormat="false" ht="15" hidden="false" customHeight="false" outlineLevel="0" collapsed="false">
      <c r="B48" s="4" t="s">
        <v>138</v>
      </c>
      <c r="C48" s="7" t="n">
        <v>19</v>
      </c>
    </row>
    <row r="49" customFormat="false" ht="15" hidden="false" customHeight="false" outlineLevel="0" collapsed="false">
      <c r="B49" s="4" t="s">
        <v>139</v>
      </c>
      <c r="C49" s="18" t="n">
        <f aca="false">INDEX(D55:H61,MATCH(C47,C55:C61,0),MATCH(C48,D54:H54,0))</f>
        <v>825</v>
      </c>
    </row>
    <row r="50" customFormat="false" ht="15" hidden="false" customHeight="false" outlineLevel="0" collapsed="false">
      <c r="B50" s="4" t="s">
        <v>140</v>
      </c>
      <c r="C50" s="18" t="n">
        <f aca="false">INDEX($C$6:$C$8,MATCH(C43,$B$6:$B$8,0))</f>
        <v>690</v>
      </c>
    </row>
    <row r="51" customFormat="false" ht="15" hidden="false" customHeight="false" outlineLevel="0" collapsed="false">
      <c r="B51" s="4" t="s">
        <v>141</v>
      </c>
      <c r="C51" s="18" t="n">
        <f aca="false">INDEX($D$6:$D$8,MATCH(C43,$B$6:$B$8,0))</f>
        <v>1005</v>
      </c>
    </row>
    <row r="53" customFormat="false" ht="15" hidden="false" customHeight="false" outlineLevel="0" collapsed="false">
      <c r="C53" s="3" t="s">
        <v>142</v>
      </c>
      <c r="J53" s="3" t="s">
        <v>143</v>
      </c>
      <c r="Q53" s="3" t="s">
        <v>144</v>
      </c>
    </row>
    <row r="54" customFormat="false" ht="15" hidden="false" customHeight="false" outlineLevel="0" collapsed="false">
      <c r="C54" s="44" t="s">
        <v>145</v>
      </c>
      <c r="D54" s="45" t="n">
        <v>9</v>
      </c>
      <c r="E54" s="45" t="n">
        <v>14</v>
      </c>
      <c r="F54" s="45" t="n">
        <v>19</v>
      </c>
      <c r="G54" s="45" t="n">
        <v>24</v>
      </c>
      <c r="H54" s="45" t="n">
        <v>29</v>
      </c>
      <c r="J54" s="44" t="s">
        <v>145</v>
      </c>
      <c r="K54" s="46" t="n">
        <f aca="false">D54</f>
        <v>9</v>
      </c>
      <c r="L54" s="46" t="n">
        <f aca="false">E54</f>
        <v>14</v>
      </c>
      <c r="M54" s="46" t="n">
        <f aca="false">F54</f>
        <v>19</v>
      </c>
      <c r="N54" s="46" t="n">
        <f aca="false">G54</f>
        <v>24</v>
      </c>
      <c r="O54" s="46" t="n">
        <f aca="false">H54</f>
        <v>29</v>
      </c>
      <c r="Q54" s="44" t="s">
        <v>145</v>
      </c>
      <c r="R54" s="46" t="n">
        <f aca="false">D54</f>
        <v>9</v>
      </c>
      <c r="S54" s="46" t="n">
        <f aca="false">E54</f>
        <v>14</v>
      </c>
      <c r="T54" s="46" t="n">
        <f aca="false">F54</f>
        <v>19</v>
      </c>
      <c r="U54" s="46" t="n">
        <f aca="false">G54</f>
        <v>24</v>
      </c>
      <c r="V54" s="46" t="n">
        <f aca="false">H54</f>
        <v>29</v>
      </c>
    </row>
    <row r="55" customFormat="false" ht="15" hidden="false" customHeight="false" outlineLevel="0" collapsed="false">
      <c r="C55" s="6" t="n">
        <v>101</v>
      </c>
      <c r="D55" s="47" t="n">
        <v>889</v>
      </c>
      <c r="E55" s="47" t="n">
        <v>905</v>
      </c>
      <c r="F55" s="47" t="n">
        <v>921</v>
      </c>
      <c r="G55" s="47" t="n">
        <v>935</v>
      </c>
      <c r="H55" s="47" t="n">
        <v>951</v>
      </c>
      <c r="J55" s="39" t="n">
        <f aca="false">C55</f>
        <v>101</v>
      </c>
      <c r="K55" s="27" t="n">
        <f aca="false">$C$49+$C$45*((Model!$C$5*(($C55)+Model!$C$6*(D$54)))-(Model!$C$5*(($C$47)+Model!$C$6*($C$48)))-$C$46*(((((Model!$C$5*(($C55)+Model!$C$6*(D$54)))-($C$50))*NORMSDIST(((Model!$C$5*(($C55)+Model!$C$6*(D$54)))-($C$50))/Model!$C$7)+Model!$C$7*EXP(-((((Model!$C$5*(($C55)+Model!$C$6*(D$54)))-($C$50))/Model!$C$7)^2)/2)/SQRT(2*PI()))-(((Model!$C$5*(($C55)+Model!$C$6*(D$54)))-($C$51))*NORMSDIST(((Model!$C$5*(($C55)+Model!$C$6*(D$54)))-($C$51))/Model!$C$7)+Model!$C$7*EXP(-((((Model!$C$5*(($C55)+Model!$C$6*(D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889.793027732246</v>
      </c>
      <c r="L55" s="27" t="n">
        <f aca="false">$C$49+$C$45*((Model!$C$5*(($C55)+Model!$C$6*(E$54)))-(Model!$C$5*(($C$47)+Model!$C$6*($C$48)))-$C$46*(((((Model!$C$5*(($C55)+Model!$C$6*(E$54)))-($C$50))*NORMSDIST(((Model!$C$5*(($C55)+Model!$C$6*(E$54)))-($C$50))/Model!$C$7)+Model!$C$7*EXP(-((((Model!$C$5*(($C55)+Model!$C$6*(E$54)))-($C$50))/Model!$C$7)^2)/2)/SQRT(2*PI()))-(((Model!$C$5*(($C55)+Model!$C$6*(E$54)))-($C$51))*NORMSDIST(((Model!$C$5*(($C55)+Model!$C$6*(E$54)))-($C$51))/Model!$C$7)+Model!$C$7*EXP(-((((Model!$C$5*(($C55)+Model!$C$6*(E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909.805836096491</v>
      </c>
      <c r="M55" s="27" t="n">
        <f aca="false">$C$49+$C$45*((Model!$C$5*(($C55)+Model!$C$6*(F$54)))-(Model!$C$5*(($C$47)+Model!$C$6*($C$48)))-$C$46*(((((Model!$C$5*(($C55)+Model!$C$6*(F$54)))-($C$50))*NORMSDIST(((Model!$C$5*(($C55)+Model!$C$6*(F$54)))-($C$50))/Model!$C$7)+Model!$C$7*EXP(-((((Model!$C$5*(($C55)+Model!$C$6*(F$54)))-($C$50))/Model!$C$7)^2)/2)/SQRT(2*PI()))-(((Model!$C$5*(($C55)+Model!$C$6*(F$54)))-($C$51))*NORMSDIST(((Model!$C$5*(($C55)+Model!$C$6*(F$54)))-($C$51))/Model!$C$7)+Model!$C$7*EXP(-((((Model!$C$5*(($C55)+Model!$C$6*(F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931.186720756144</v>
      </c>
      <c r="N55" s="27" t="n">
        <f aca="false">$C$49+$C$45*((Model!$C$5*(($C55)+Model!$C$6*(G$54)))-(Model!$C$5*(($C$47)+Model!$C$6*($C$48)))-$C$46*(((((Model!$C$5*(($C55)+Model!$C$6*(G$54)))-($C$50))*NORMSDIST(((Model!$C$5*(($C55)+Model!$C$6*(G$54)))-($C$50))/Model!$C$7)+Model!$C$7*EXP(-((((Model!$C$5*(($C55)+Model!$C$6*(G$54)))-($C$50))/Model!$C$7)^2)/2)/SQRT(2*PI()))-(((Model!$C$5*(($C55)+Model!$C$6*(G$54)))-($C$51))*NORMSDIST(((Model!$C$5*(($C55)+Model!$C$6*(G$54)))-($C$51))/Model!$C$7)+Model!$C$7*EXP(-((((Model!$C$5*(($C55)+Model!$C$6*(G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954.548837419569</v>
      </c>
      <c r="O55" s="27" t="n">
        <f aca="false">$C$49+$C$45*((Model!$C$5*(($C55)+Model!$C$6*(H$54)))-(Model!$C$5*(($C$47)+Model!$C$6*($C$48)))-$C$46*(((((Model!$C$5*(($C55)+Model!$C$6*(H$54)))-($C$50))*NORMSDIST(((Model!$C$5*(($C55)+Model!$C$6*(H$54)))-($C$50))/Model!$C$7)+Model!$C$7*EXP(-((((Model!$C$5*(($C55)+Model!$C$6*(H$54)))-($C$50))/Model!$C$7)^2)/2)/SQRT(2*PI()))-(((Model!$C$5*(($C55)+Model!$C$6*(H$54)))-($C$51))*NORMSDIST(((Model!$C$5*(($C55)+Model!$C$6*(H$54)))-($C$51))/Model!$C$7)+Model!$C$7*EXP(-((((Model!$C$5*(($C55)+Model!$C$6*(H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980.260543167334</v>
      </c>
      <c r="Q55" s="39" t="n">
        <f aca="false">C55</f>
        <v>101</v>
      </c>
      <c r="R55" s="48" t="n">
        <f aca="false">K55-D55</f>
        <v>0.793027732246401</v>
      </c>
      <c r="S55" s="48" t="n">
        <f aca="false">L55-E55</f>
        <v>4.80583609649136</v>
      </c>
      <c r="T55" s="48" t="n">
        <f aca="false">M55-F55</f>
        <v>10.1867207561438</v>
      </c>
      <c r="U55" s="48" t="n">
        <f aca="false">N55-G55</f>
        <v>19.5488374195685</v>
      </c>
      <c r="V55" s="48" t="n">
        <f aca="false">O55-H55</f>
        <v>29.2605431673338</v>
      </c>
    </row>
    <row r="56" customFormat="false" ht="15" hidden="false" customHeight="false" outlineLevel="0" collapsed="false">
      <c r="C56" s="6" t="n">
        <v>91</v>
      </c>
      <c r="D56" s="47" t="n">
        <v>861</v>
      </c>
      <c r="E56" s="47" t="n">
        <v>886</v>
      </c>
      <c r="F56" s="47" t="n">
        <v>905</v>
      </c>
      <c r="G56" s="47" t="n">
        <v>920</v>
      </c>
      <c r="H56" s="47" t="n">
        <v>935</v>
      </c>
      <c r="J56" s="39" t="n">
        <f aca="false">C56</f>
        <v>91</v>
      </c>
      <c r="K56" s="27" t="n">
        <f aca="false">$C$49+$C$45*((Model!$C$5*(($C56)+Model!$C$6*(D$54)))-(Model!$C$5*(($C$47)+Model!$C$6*($C$48)))-$C$46*(((((Model!$C$5*(($C56)+Model!$C$6*(D$54)))-($C$50))*NORMSDIST(((Model!$C$5*(($C56)+Model!$C$6*(D$54)))-($C$50))/Model!$C$7)+Model!$C$7*EXP(-((((Model!$C$5*(($C56)+Model!$C$6*(D$54)))-($C$50))/Model!$C$7)^2)/2)/SQRT(2*PI()))-(((Model!$C$5*(($C56)+Model!$C$6*(D$54)))-($C$51))*NORMSDIST(((Model!$C$5*(($C56)+Model!$C$6*(D$54)))-($C$51))/Model!$C$7)+Model!$C$7*EXP(-((((Model!$C$5*(($C56)+Model!$C$6*(D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855.844644162501</v>
      </c>
      <c r="L56" s="27" t="n">
        <f aca="false">$C$49+$C$45*((Model!$C$5*(($C56)+Model!$C$6*(E$54)))-(Model!$C$5*(($C$47)+Model!$C$6*($C$48)))-$C$46*(((((Model!$C$5*(($C56)+Model!$C$6*(E$54)))-($C$50))*NORMSDIST(((Model!$C$5*(($C56)+Model!$C$6*(E$54)))-($C$50))/Model!$C$7)+Model!$C$7*EXP(-((((Model!$C$5*(($C56)+Model!$C$6*(E$54)))-($C$50))/Model!$C$7)^2)/2)/SQRT(2*PI()))-(((Model!$C$5*(($C56)+Model!$C$6*(E$54)))-($C$51))*NORMSDIST(((Model!$C$5*(($C56)+Model!$C$6*(E$54)))-($C$51))/Model!$C$7)+Model!$C$7*EXP(-((((Model!$C$5*(($C56)+Model!$C$6*(E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875.418709493545</v>
      </c>
      <c r="M56" s="27" t="n">
        <f aca="false">$C$49+$C$45*((Model!$C$5*(($C56)+Model!$C$6*(F$54)))-(Model!$C$5*(($C$47)+Model!$C$6*($C$48)))-$C$46*(((((Model!$C$5*(($C56)+Model!$C$6*(F$54)))-($C$50))*NORMSDIST(((Model!$C$5*(($C56)+Model!$C$6*(F$54)))-($C$50))/Model!$C$7)+Model!$C$7*EXP(-((((Model!$C$5*(($C56)+Model!$C$6*(F$54)))-($C$50))/Model!$C$7)^2)/2)/SQRT(2*PI()))-(((Model!$C$5*(($C56)+Model!$C$6*(F$54)))-($C$51))*NORMSDIST(((Model!$C$5*(($C56)+Model!$C$6*(F$54)))-($C$51))/Model!$C$7)+Model!$C$7*EXP(-((((Model!$C$5*(($C56)+Model!$C$6*(F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894.923920709918</v>
      </c>
      <c r="N56" s="27" t="n">
        <f aca="false">$C$49+$C$45*((Model!$C$5*(($C56)+Model!$C$6*(G$54)))-(Model!$C$5*(($C$47)+Model!$C$6*($C$48)))-$C$46*(((((Model!$C$5*(($C56)+Model!$C$6*(G$54)))-($C$50))*NORMSDIST(((Model!$C$5*(($C56)+Model!$C$6*(G$54)))-($C$50))/Model!$C$7)+Model!$C$7*EXP(-((((Model!$C$5*(($C56)+Model!$C$6*(G$54)))-($C$50))/Model!$C$7)^2)/2)/SQRT(2*PI()))-(((Model!$C$5*(($C56)+Model!$C$6*(G$54)))-($C$51))*NORMSDIST(((Model!$C$5*(($C56)+Model!$C$6*(G$54)))-($C$51))/Model!$C$7)+Model!$C$7*EXP(-((((Model!$C$5*(($C56)+Model!$C$6*(G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915.22286405221</v>
      </c>
      <c r="O56" s="27" t="n">
        <f aca="false">$C$49+$C$45*((Model!$C$5*(($C56)+Model!$C$6*(H$54)))-(Model!$C$5*(($C$47)+Model!$C$6*($C$48)))-$C$46*(((((Model!$C$5*(($C56)+Model!$C$6*(H$54)))-($C$50))*NORMSDIST(((Model!$C$5*(($C56)+Model!$C$6*(H$54)))-($C$50))/Model!$C$7)+Model!$C$7*EXP(-((((Model!$C$5*(($C56)+Model!$C$6*(H$54)))-($C$50))/Model!$C$7)^2)/2)/SQRT(2*PI()))-(((Model!$C$5*(($C56)+Model!$C$6*(H$54)))-($C$51))*NORMSDIST(((Model!$C$5*(($C56)+Model!$C$6*(H$54)))-($C$51))/Model!$C$7)+Model!$C$7*EXP(-((((Model!$C$5*(($C56)+Model!$C$6*(H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937.07062945591</v>
      </c>
      <c r="Q56" s="39" t="n">
        <f aca="false">C56</f>
        <v>91</v>
      </c>
      <c r="R56" s="48" t="n">
        <f aca="false">K56-D56</f>
        <v>-5.15535583749943</v>
      </c>
      <c r="S56" s="48" t="n">
        <f aca="false">L56-E56</f>
        <v>-10.5812905064552</v>
      </c>
      <c r="T56" s="48" t="n">
        <f aca="false">M56-F56</f>
        <v>-10.0760792900821</v>
      </c>
      <c r="U56" s="48" t="n">
        <f aca="false">N56-G56</f>
        <v>-4.77713594778959</v>
      </c>
      <c r="V56" s="48" t="n">
        <f aca="false">O56-H56</f>
        <v>2.07062945591008</v>
      </c>
    </row>
    <row r="57" customFormat="false" ht="15" hidden="false" customHeight="false" outlineLevel="0" collapsed="false">
      <c r="C57" s="6" t="n">
        <v>81</v>
      </c>
      <c r="D57" s="47" t="n">
        <v>822</v>
      </c>
      <c r="E57" s="47" t="n">
        <v>850</v>
      </c>
      <c r="F57" s="47" t="n">
        <v>880</v>
      </c>
      <c r="G57" s="47" t="n">
        <v>903</v>
      </c>
      <c r="H57" s="47" t="n">
        <v>919</v>
      </c>
      <c r="J57" s="39" t="n">
        <f aca="false">C57</f>
        <v>81</v>
      </c>
      <c r="K57" s="27" t="n">
        <f aca="false">$C$49+$C$45*((Model!$C$5*(($C57)+Model!$C$6*(D$54)))-(Model!$C$5*(($C$47)+Model!$C$6*($C$48)))-$C$46*(((((Model!$C$5*(($C57)+Model!$C$6*(D$54)))-($C$50))*NORMSDIST(((Model!$C$5*(($C57)+Model!$C$6*(D$54)))-($C$50))/Model!$C$7)+Model!$C$7*EXP(-((((Model!$C$5*(($C57)+Model!$C$6*(D$54)))-($C$50))/Model!$C$7)^2)/2)/SQRT(2*PI()))-(((Model!$C$5*(($C57)+Model!$C$6*(D$54)))-($C$51))*NORMSDIST(((Model!$C$5*(($C57)+Model!$C$6*(D$54)))-($C$51))/Model!$C$7)+Model!$C$7*EXP(-((((Model!$C$5*(($C57)+Model!$C$6*(D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819.171477468834</v>
      </c>
      <c r="L57" s="27" t="n">
        <f aca="false">$C$49+$C$45*((Model!$C$5*(($C57)+Model!$C$6*(E$54)))-(Model!$C$5*(($C$47)+Model!$C$6*($C$48)))-$C$46*(((((Model!$C$5*(($C57)+Model!$C$6*(E$54)))-($C$50))*NORMSDIST(((Model!$C$5*(($C57)+Model!$C$6*(E$54)))-($C$50))/Model!$C$7)+Model!$C$7*EXP(-((((Model!$C$5*(($C57)+Model!$C$6*(E$54)))-($C$50))/Model!$C$7)^2)/2)/SQRT(2*PI()))-(((Model!$C$5*(($C57)+Model!$C$6*(E$54)))-($C$51))*NORMSDIST(((Model!$C$5*(($C57)+Model!$C$6*(E$54)))-($C$51))/Model!$C$7)+Model!$C$7*EXP(-((((Model!$C$5*(($C57)+Model!$C$6*(E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840.828177045162</v>
      </c>
      <c r="M57" s="27" t="n">
        <f aca="false">$C$49+$C$45*((Model!$C$5*(($C57)+Model!$C$6*(F$54)))-(Model!$C$5*(($C$47)+Model!$C$6*($C$48)))-$C$46*(((((Model!$C$5*(($C57)+Model!$C$6*(F$54)))-($C$50))*NORMSDIST(((Model!$C$5*(($C57)+Model!$C$6*(F$54)))-($C$50))/Model!$C$7)+Model!$C$7*EXP(-((((Model!$C$5*(($C57)+Model!$C$6*(F$54)))-($C$50))/Model!$C$7)^2)/2)/SQRT(2*PI()))-(((Model!$C$5*(($C57)+Model!$C$6*(F$54)))-($C$51))*NORMSDIST(((Model!$C$5*(($C57)+Model!$C$6*(F$54)))-($C$51))/Model!$C$7)+Model!$C$7*EXP(-((((Model!$C$5*(($C57)+Model!$C$6*(F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861.006575403504</v>
      </c>
      <c r="N57" s="27" t="n">
        <f aca="false">$C$49+$C$45*((Model!$C$5*(($C57)+Model!$C$6*(G$54)))-(Model!$C$5*(($C$47)+Model!$C$6*($C$48)))-$C$46*(((((Model!$C$5*(($C57)+Model!$C$6*(G$54)))-($C$50))*NORMSDIST(((Model!$C$5*(($C57)+Model!$C$6*(G$54)))-($C$50))/Model!$C$7)+Model!$C$7*EXP(-((((Model!$C$5*(($C57)+Model!$C$6*(G$54)))-($C$50))/Model!$C$7)^2)/2)/SQRT(2*PI()))-(((Model!$C$5*(($C57)+Model!$C$6*(G$54)))-($C$51))*NORMSDIST(((Model!$C$5*(($C57)+Model!$C$6*(G$54)))-($C$51))/Model!$C$7)+Model!$C$7*EXP(-((((Model!$C$5*(($C57)+Model!$C$6*(G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880.477909490174</v>
      </c>
      <c r="O57" s="27" t="n">
        <f aca="false">$C$49+$C$45*((Model!$C$5*(($C57)+Model!$C$6*(H$54)))-(Model!$C$5*(($C$47)+Model!$C$6*($C$48)))-$C$46*(((((Model!$C$5*(($C57)+Model!$C$6*(H$54)))-($C$50))*NORMSDIST(((Model!$C$5*(($C57)+Model!$C$6*(H$54)))-($C$50))/Model!$C$7)+Model!$C$7*EXP(-((((Model!$C$5*(($C57)+Model!$C$6*(H$54)))-($C$50))/Model!$C$7)^2)/2)/SQRT(2*PI()))-(((Model!$C$5*(($C57)+Model!$C$6*(H$54)))-($C$51))*NORMSDIST(((Model!$C$5*(($C57)+Model!$C$6*(H$54)))-($C$51))/Model!$C$7)+Model!$C$7*EXP(-((((Model!$C$5*(($C57)+Model!$C$6*(H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900.10941428225</v>
      </c>
      <c r="Q57" s="39" t="n">
        <f aca="false">C57</f>
        <v>81</v>
      </c>
      <c r="R57" s="48" t="n">
        <f aca="false">K57-D57</f>
        <v>-2.82852253116562</v>
      </c>
      <c r="S57" s="48" t="n">
        <f aca="false">L57-E57</f>
        <v>-9.17182295483826</v>
      </c>
      <c r="T57" s="48" t="n">
        <f aca="false">M57-F57</f>
        <v>-18.9934245964962</v>
      </c>
      <c r="U57" s="48" t="n">
        <f aca="false">N57-G57</f>
        <v>-22.5220905098262</v>
      </c>
      <c r="V57" s="48" t="n">
        <f aca="false">O57-H57</f>
        <v>-18.8905857177504</v>
      </c>
    </row>
    <row r="58" customFormat="false" ht="15" hidden="false" customHeight="false" outlineLevel="0" collapsed="false">
      <c r="C58" s="6" t="n">
        <v>71</v>
      </c>
      <c r="D58" s="47" t="n">
        <v>785</v>
      </c>
      <c r="E58" s="47" t="n">
        <v>802</v>
      </c>
      <c r="F58" s="47" t="n">
        <v>825</v>
      </c>
      <c r="G58" s="47" t="n">
        <v>855</v>
      </c>
      <c r="H58" s="47" t="n">
        <v>883</v>
      </c>
      <c r="J58" s="39" t="n">
        <f aca="false">C58</f>
        <v>71</v>
      </c>
      <c r="K58" s="27" t="n">
        <f aca="false">$C$49+$C$45*((Model!$C$5*(($C58)+Model!$C$6*(D$54)))-(Model!$C$5*(($C$47)+Model!$C$6*($C$48)))-$C$46*(((((Model!$C$5*(($C58)+Model!$C$6*(D$54)))-($C$50))*NORMSDIST(((Model!$C$5*(($C58)+Model!$C$6*(D$54)))-($C$50))/Model!$C$7)+Model!$C$7*EXP(-((((Model!$C$5*(($C58)+Model!$C$6*(D$54)))-($C$50))/Model!$C$7)^2)/2)/SQRT(2*PI()))-(((Model!$C$5*(($C58)+Model!$C$6*(D$54)))-($C$51))*NORMSDIST(((Model!$C$5*(($C58)+Model!$C$6*(D$54)))-($C$51))/Model!$C$7)+Model!$C$7*EXP(-((((Model!$C$5*(($C58)+Model!$C$6*(D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776.408003797562</v>
      </c>
      <c r="L58" s="27" t="n">
        <f aca="false">$C$49+$C$45*((Model!$C$5*(($C58)+Model!$C$6*(E$54)))-(Model!$C$5*(($C$47)+Model!$C$6*($C$48)))-$C$46*(((((Model!$C$5*(($C58)+Model!$C$6*(E$54)))-($C$50))*NORMSDIST(((Model!$C$5*(($C58)+Model!$C$6*(E$54)))-($C$50))/Model!$C$7)+Model!$C$7*EXP(-((((Model!$C$5*(($C58)+Model!$C$6*(E$54)))-($C$50))/Model!$C$7)^2)/2)/SQRT(2*PI()))-(((Model!$C$5*(($C58)+Model!$C$6*(E$54)))-($C$51))*NORMSDIST(((Model!$C$5*(($C58)+Model!$C$6*(E$54)))-($C$51))/Model!$C$7)+Model!$C$7*EXP(-((((Model!$C$5*(($C58)+Model!$C$6*(E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801.865773717807</v>
      </c>
      <c r="M58" s="27" t="n">
        <f aca="false">$C$49+$C$45*((Model!$C$5*(($C58)+Model!$C$6*(F$54)))-(Model!$C$5*(($C$47)+Model!$C$6*($C$48)))-$C$46*(((((Model!$C$5*(($C58)+Model!$C$6*(F$54)))-($C$50))*NORMSDIST(((Model!$C$5*(($C58)+Model!$C$6*(F$54)))-($C$50))/Model!$C$7)+Model!$C$7*EXP(-((((Model!$C$5*(($C58)+Model!$C$6*(F$54)))-($C$50))/Model!$C$7)^2)/2)/SQRT(2*PI()))-(((Model!$C$5*(($C58)+Model!$C$6*(F$54)))-($C$51))*NORMSDIST(((Model!$C$5*(($C58)+Model!$C$6*(F$54)))-($C$51))/Model!$C$7)+Model!$C$7*EXP(-((((Model!$C$5*(($C58)+Model!$C$6*(F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825</v>
      </c>
      <c r="N58" s="27" t="n">
        <f aca="false">$C$49+$C$45*((Model!$C$5*(($C58)+Model!$C$6*(G$54)))-(Model!$C$5*(($C$47)+Model!$C$6*($C$48)))-$C$46*(((((Model!$C$5*(($C58)+Model!$C$6*(G$54)))-($C$50))*NORMSDIST(((Model!$C$5*(($C58)+Model!$C$6*(G$54)))-($C$50))/Model!$C$7)+Model!$C$7*EXP(-((((Model!$C$5*(($C58)+Model!$C$6*(G$54)))-($C$50))/Model!$C$7)^2)/2)/SQRT(2*PI()))-(((Model!$C$5*(($C58)+Model!$C$6*(G$54)))-($C$51))*NORMSDIST(((Model!$C$5*(($C58)+Model!$C$6*(G$54)))-($C$51))/Model!$C$7)+Model!$C$7*EXP(-((((Model!$C$5*(($C58)+Model!$C$6*(G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846.206128478361</v>
      </c>
      <c r="O58" s="27" t="n">
        <f aca="false">$C$49+$C$45*((Model!$C$5*(($C58)+Model!$C$6*(H$54)))-(Model!$C$5*(($C$47)+Model!$C$6*($C$48)))-$C$46*(((((Model!$C$5*(($C58)+Model!$C$6*(H$54)))-($C$50))*NORMSDIST(((Model!$C$5*(($C58)+Model!$C$6*(H$54)))-($C$50))/Model!$C$7)+Model!$C$7*EXP(-((((Model!$C$5*(($C58)+Model!$C$6*(H$54)))-($C$50))/Model!$C$7)^2)/2)/SQRT(2*PI()))-(((Model!$C$5*(($C58)+Model!$C$6*(H$54)))-($C$51))*NORMSDIST(((Model!$C$5*(($C58)+Model!$C$6*(H$54)))-($C$51))/Model!$C$7)+Model!$C$7*EXP(-((((Model!$C$5*(($C58)+Model!$C$6*(H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866.119866572015</v>
      </c>
      <c r="Q58" s="39" t="n">
        <f aca="false">C58</f>
        <v>71</v>
      </c>
      <c r="R58" s="48" t="n">
        <f aca="false">K58-D58</f>
        <v>-8.5919962024376</v>
      </c>
      <c r="S58" s="48" t="n">
        <f aca="false">L58-E58</f>
        <v>-0.134226282192572</v>
      </c>
      <c r="T58" s="48" t="n">
        <f aca="false">M58-F58</f>
        <v>0</v>
      </c>
      <c r="U58" s="48" t="n">
        <f aca="false">N58-G58</f>
        <v>-8.79387152163918</v>
      </c>
      <c r="V58" s="48" t="n">
        <f aca="false">O58-H58</f>
        <v>-16.8801334279851</v>
      </c>
    </row>
    <row r="59" customFormat="false" ht="15" hidden="false" customHeight="false" outlineLevel="0" collapsed="false">
      <c r="C59" s="6" t="n">
        <v>61</v>
      </c>
      <c r="D59" s="47" t="n">
        <v>742</v>
      </c>
      <c r="E59" s="47" t="n">
        <v>771</v>
      </c>
      <c r="F59" s="47" t="n">
        <v>791</v>
      </c>
      <c r="G59" s="47" t="n">
        <v>808</v>
      </c>
      <c r="H59" s="47" t="n">
        <v>834</v>
      </c>
      <c r="J59" s="39" t="n">
        <f aca="false">C59</f>
        <v>61</v>
      </c>
      <c r="K59" s="27" t="n">
        <f aca="false">$C$49+$C$45*((Model!$C$5*(($C59)+Model!$C$6*(D$54)))-(Model!$C$5*(($C$47)+Model!$C$6*($C$48)))-$C$46*(((((Model!$C$5*(($C59)+Model!$C$6*(D$54)))-($C$50))*NORMSDIST(((Model!$C$5*(($C59)+Model!$C$6*(D$54)))-($C$50))/Model!$C$7)+Model!$C$7*EXP(-((((Model!$C$5*(($C59)+Model!$C$6*(D$54)))-($C$50))/Model!$C$7)^2)/2)/SQRT(2*PI()))-(((Model!$C$5*(($C59)+Model!$C$6*(D$54)))-($C$51))*NORMSDIST(((Model!$C$5*(($C59)+Model!$C$6*(D$54)))-($C$51))/Model!$C$7)+Model!$C$7*EXP(-((((Model!$C$5*(($C59)+Model!$C$6*(D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726.333025835039</v>
      </c>
      <c r="L59" s="27" t="n">
        <f aca="false">$C$49+$C$45*((Model!$C$5*(($C59)+Model!$C$6*(E$54)))-(Model!$C$5*(($C$47)+Model!$C$6*($C$48)))-$C$46*(((((Model!$C$5*(($C59)+Model!$C$6*(E$54)))-($C$50))*NORMSDIST(((Model!$C$5*(($C59)+Model!$C$6*(E$54)))-($C$50))/Model!$C$7)+Model!$C$7*EXP(-((((Model!$C$5*(($C59)+Model!$C$6*(E$54)))-($C$50))/Model!$C$7)^2)/2)/SQRT(2*PI()))-(((Model!$C$5*(($C59)+Model!$C$6*(E$54)))-($C$51))*NORMSDIST(((Model!$C$5*(($C59)+Model!$C$6*(E$54)))-($C$51))/Model!$C$7)+Model!$C$7*EXP(-((((Model!$C$5*(($C59)+Model!$C$6*(E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756.009932995361</v>
      </c>
      <c r="M59" s="27" t="n">
        <f aca="false">$C$49+$C$45*((Model!$C$5*(($C59)+Model!$C$6*(F$54)))-(Model!$C$5*(($C$47)+Model!$C$6*($C$48)))-$C$46*(((((Model!$C$5*(($C59)+Model!$C$6*(F$54)))-($C$50))*NORMSDIST(((Model!$C$5*(($C59)+Model!$C$6*(F$54)))-($C$50))/Model!$C$7)+Model!$C$7*EXP(-((((Model!$C$5*(($C59)+Model!$C$6*(F$54)))-($C$50))/Model!$C$7)^2)/2)/SQRT(2*PI()))-(((Model!$C$5*(($C59)+Model!$C$6*(F$54)))-($C$51))*NORMSDIST(((Model!$C$5*(($C59)+Model!$C$6*(F$54)))-($C$51))/Model!$C$7)+Model!$C$7*EXP(-((((Model!$C$5*(($C59)+Model!$C$6*(F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783.285166832969</v>
      </c>
      <c r="N59" s="27" t="n">
        <f aca="false">$C$49+$C$45*((Model!$C$5*(($C59)+Model!$C$6*(G$54)))-(Model!$C$5*(($C$47)+Model!$C$6*($C$48)))-$C$46*(((((Model!$C$5*(($C59)+Model!$C$6*(G$54)))-($C$50))*NORMSDIST(((Model!$C$5*(($C59)+Model!$C$6*(G$54)))-($C$50))/Model!$C$7)+Model!$C$7*EXP(-((((Model!$C$5*(($C59)+Model!$C$6*(G$54)))-($C$50))/Model!$C$7)^2)/2)/SQRT(2*PI()))-(((Model!$C$5*(($C59)+Model!$C$6*(G$54)))-($C$51))*NORMSDIST(((Model!$C$5*(($C59)+Model!$C$6*(G$54)))-($C$51))/Model!$C$7)+Model!$C$7*EXP(-((((Model!$C$5*(($C59)+Model!$C$6*(G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808.113395781113</v>
      </c>
      <c r="O59" s="27" t="n">
        <f aca="false">$C$49+$C$45*((Model!$C$5*(($C59)+Model!$C$6*(H$54)))-(Model!$C$5*(($C$47)+Model!$C$6*($C$48)))-$C$46*(((((Model!$C$5*(($C59)+Model!$C$6*(H$54)))-($C$50))*NORMSDIST(((Model!$C$5*(($C59)+Model!$C$6*(H$54)))-($C$50))/Model!$C$7)+Model!$C$7*EXP(-((((Model!$C$5*(($C59)+Model!$C$6*(H$54)))-($C$50))/Model!$C$7)^2)/2)/SQRT(2*PI()))-(((Model!$C$5*(($C59)+Model!$C$6*(H$54)))-($C$51))*NORMSDIST(((Model!$C$5*(($C59)+Model!$C$6*(H$54)))-($C$51))/Model!$C$7)+Model!$C$7*EXP(-((((Model!$C$5*(($C59)+Model!$C$6*(H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830.696005484367</v>
      </c>
      <c r="Q59" s="39" t="n">
        <f aca="false">C59</f>
        <v>61</v>
      </c>
      <c r="R59" s="48" t="n">
        <f aca="false">K59-D59</f>
        <v>-15.6669741649614</v>
      </c>
      <c r="S59" s="48" t="n">
        <f aca="false">L59-E59</f>
        <v>-14.9900670046386</v>
      </c>
      <c r="T59" s="48" t="n">
        <f aca="false">M59-F59</f>
        <v>-7.71483316703154</v>
      </c>
      <c r="U59" s="48" t="n">
        <f aca="false">N59-G59</f>
        <v>0.113395781113127</v>
      </c>
      <c r="V59" s="48" t="n">
        <f aca="false">O59-H59</f>
        <v>-3.30399451563267</v>
      </c>
    </row>
    <row r="60" customFormat="false" ht="15" hidden="false" customHeight="false" outlineLevel="0" collapsed="false">
      <c r="C60" s="6" t="n">
        <v>51</v>
      </c>
      <c r="D60" s="47" t="n">
        <v>685</v>
      </c>
      <c r="E60" s="47" t="n">
        <v>719</v>
      </c>
      <c r="F60" s="47" t="n">
        <v>752</v>
      </c>
      <c r="G60" s="47" t="n">
        <v>777</v>
      </c>
      <c r="H60" s="47" t="n">
        <v>795</v>
      </c>
      <c r="J60" s="39" t="n">
        <f aca="false">C60</f>
        <v>51</v>
      </c>
      <c r="K60" s="27" t="n">
        <f aca="false">$C$49+$C$45*((Model!$C$5*(($C60)+Model!$C$6*(D$54)))-(Model!$C$5*(($C$47)+Model!$C$6*($C$48)))-$C$46*(((((Model!$C$5*(($C60)+Model!$C$6*(D$54)))-($C$50))*NORMSDIST(((Model!$C$5*(($C60)+Model!$C$6*(D$54)))-($C$50))/Model!$C$7)+Model!$C$7*EXP(-((((Model!$C$5*(($C60)+Model!$C$6*(D$54)))-($C$50))/Model!$C$7)^2)/2)/SQRT(2*PI()))-(((Model!$C$5*(($C60)+Model!$C$6*(D$54)))-($C$51))*NORMSDIST(((Model!$C$5*(($C60)+Model!$C$6*(D$54)))-($C$51))/Model!$C$7)+Model!$C$7*EXP(-((((Model!$C$5*(($C60)+Model!$C$6*(D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669.778228400529</v>
      </c>
      <c r="L60" s="27" t="n">
        <f aca="false">$C$49+$C$45*((Model!$C$5*(($C60)+Model!$C$6*(E$54)))-(Model!$C$5*(($C$47)+Model!$C$6*($C$48)))-$C$46*(((((Model!$C$5*(($C60)+Model!$C$6*(E$54)))-($C$50))*NORMSDIST(((Model!$C$5*(($C60)+Model!$C$6*(E$54)))-($C$50))/Model!$C$7)+Model!$C$7*EXP(-((((Model!$C$5*(($C60)+Model!$C$6*(E$54)))-($C$50))/Model!$C$7)^2)/2)/SQRT(2*PI()))-(((Model!$C$5*(($C60)+Model!$C$6*(E$54)))-($C$51))*NORMSDIST(((Model!$C$5*(($C60)+Model!$C$6*(E$54)))-($C$51))/Model!$C$7)+Model!$C$7*EXP(-((((Model!$C$5*(($C60)+Model!$C$6*(E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702.98929061129</v>
      </c>
      <c r="M60" s="27" t="n">
        <f aca="false">$C$49+$C$45*((Model!$C$5*(($C60)+Model!$C$6*(F$54)))-(Model!$C$5*(($C$47)+Model!$C$6*($C$48)))-$C$46*(((((Model!$C$5*(($C60)+Model!$C$6*(F$54)))-($C$50))*NORMSDIST(((Model!$C$5*(($C60)+Model!$C$6*(F$54)))-($C$50))/Model!$C$7)+Model!$C$7*EXP(-((((Model!$C$5*(($C60)+Model!$C$6*(F$54)))-($C$50))/Model!$C$7)^2)/2)/SQRT(2*PI()))-(((Model!$C$5*(($C60)+Model!$C$6*(F$54)))-($C$51))*NORMSDIST(((Model!$C$5*(($C60)+Model!$C$6*(F$54)))-($C$51))/Model!$C$7)+Model!$C$7*EXP(-((((Model!$C$5*(($C60)+Model!$C$6*(F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734.295741223826</v>
      </c>
      <c r="N60" s="27" t="n">
        <f aca="false">$C$49+$C$45*((Model!$C$5*(($C60)+Model!$C$6*(G$54)))-(Model!$C$5*(($C$47)+Model!$C$6*($C$48)))-$C$46*(((((Model!$C$5*(($C60)+Model!$C$6*(G$54)))-($C$50))*NORMSDIST(((Model!$C$5*(($C60)+Model!$C$6*(G$54)))-($C$50))/Model!$C$7)+Model!$C$7*EXP(-((((Model!$C$5*(($C60)+Model!$C$6*(G$54)))-($C$50))/Model!$C$7)^2)/2)/SQRT(2*PI()))-(((Model!$C$5*(($C60)+Model!$C$6*(G$54)))-($C$51))*NORMSDIST(((Model!$C$5*(($C60)+Model!$C$6*(G$54)))-($C$51))/Model!$C$7)+Model!$C$7*EXP(-((((Model!$C$5*(($C60)+Model!$C$6*(G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763.362536176298</v>
      </c>
      <c r="O60" s="27" t="n">
        <f aca="false">$C$49+$C$45*((Model!$C$5*(($C60)+Model!$C$6*(H$54)))-(Model!$C$5*(($C$47)+Model!$C$6*($C$48)))-$C$46*(((((Model!$C$5*(($C60)+Model!$C$6*(H$54)))-($C$50))*NORMSDIST(((Model!$C$5*(($C60)+Model!$C$6*(H$54)))-($C$50))/Model!$C$7)+Model!$C$7*EXP(-((((Model!$C$5*(($C60)+Model!$C$6*(H$54)))-($C$50))/Model!$C$7)^2)/2)/SQRT(2*PI()))-(((Model!$C$5*(($C60)+Model!$C$6*(H$54)))-($C$51))*NORMSDIST(((Model!$C$5*(($C60)+Model!$C$6*(H$54)))-($C$51))/Model!$C$7)+Model!$C$7*EXP(-((((Model!$C$5*(($C60)+Model!$C$6*(H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789.994472239405</v>
      </c>
      <c r="Q60" s="39" t="n">
        <f aca="false">C60</f>
        <v>51</v>
      </c>
      <c r="R60" s="48" t="n">
        <f aca="false">K60-D60</f>
        <v>-15.2217715994711</v>
      </c>
      <c r="S60" s="48" t="n">
        <f aca="false">L60-E60</f>
        <v>-16.0107093887101</v>
      </c>
      <c r="T60" s="48" t="n">
        <f aca="false">M60-F60</f>
        <v>-17.7042587761741</v>
      </c>
      <c r="U60" s="48" t="n">
        <f aca="false">N60-G60</f>
        <v>-13.6374638237016</v>
      </c>
      <c r="V60" s="48" t="n">
        <f aca="false">O60-H60</f>
        <v>-5.00552776059544</v>
      </c>
    </row>
    <row r="61" customFormat="false" ht="15" hidden="false" customHeight="false" outlineLevel="0" collapsed="false">
      <c r="C61" s="6" t="n">
        <v>41</v>
      </c>
      <c r="D61" s="47" t="n">
        <v>617</v>
      </c>
      <c r="E61" s="47" t="n">
        <v>651</v>
      </c>
      <c r="F61" s="47" t="n">
        <v>685</v>
      </c>
      <c r="G61" s="47" t="n">
        <v>719</v>
      </c>
      <c r="H61" s="47" t="n">
        <v>750</v>
      </c>
      <c r="J61" s="39" t="n">
        <f aca="false">C61</f>
        <v>41</v>
      </c>
      <c r="K61" s="27" t="n">
        <f aca="false">$C$49+$C$45*((Model!$C$5*(($C61)+Model!$C$6*(D$54)))-(Model!$C$5*(($C$47)+Model!$C$6*($C$48)))-$C$46*(((((Model!$C$5*(($C61)+Model!$C$6*(D$54)))-($C$50))*NORMSDIST(((Model!$C$5*(($C61)+Model!$C$6*(D$54)))-($C$50))/Model!$C$7)+Model!$C$7*EXP(-((((Model!$C$5*(($C61)+Model!$C$6*(D$54)))-($C$50))/Model!$C$7)^2)/2)/SQRT(2*PI()))-(((Model!$C$5*(($C61)+Model!$C$6*(D$54)))-($C$51))*NORMSDIST(((Model!$C$5*(($C61)+Model!$C$6*(D$54)))-($C$51))/Model!$C$7)+Model!$C$7*EXP(-((((Model!$C$5*(($C61)+Model!$C$6*(D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608.662836354222</v>
      </c>
      <c r="L61" s="27" t="n">
        <f aca="false">$C$49+$C$45*((Model!$C$5*(($C61)+Model!$C$6*(E$54)))-(Model!$C$5*(($C$47)+Model!$C$6*($C$48)))-$C$46*(((((Model!$C$5*(($C61)+Model!$C$6*(E$54)))-($C$50))*NORMSDIST(((Model!$C$5*(($C61)+Model!$C$6*(E$54)))-($C$50))/Model!$C$7)+Model!$C$7*EXP(-((((Model!$C$5*(($C61)+Model!$C$6*(E$54)))-($C$50))/Model!$C$7)^2)/2)/SQRT(2*PI()))-(((Model!$C$5*(($C61)+Model!$C$6*(E$54)))-($C$51))*NORMSDIST(((Model!$C$5*(($C61)+Model!$C$6*(E$54)))-($C$51))/Model!$C$7)+Model!$C$7*EXP(-((((Model!$C$5*(($C61)+Model!$C$6*(E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644.239743140145</v>
      </c>
      <c r="M61" s="27" t="n">
        <f aca="false">$C$49+$C$45*((Model!$C$5*(($C61)+Model!$C$6*(F$54)))-(Model!$C$5*(($C$47)+Model!$C$6*($C$48)))-$C$46*(((((Model!$C$5*(($C61)+Model!$C$6*(F$54)))-($C$50))*NORMSDIST(((Model!$C$5*(($C61)+Model!$C$6*(F$54)))-($C$50))/Model!$C$7)+Model!$C$7*EXP(-((((Model!$C$5*(($C61)+Model!$C$6*(F$54)))-($C$50))/Model!$C$7)^2)/2)/SQRT(2*PI()))-(((Model!$C$5*(($C61)+Model!$C$6*(F$54)))-($C$51))*NORMSDIST(((Model!$C$5*(($C61)+Model!$C$6*(F$54)))-($C$51))/Model!$C$7)+Model!$C$7*EXP(-((((Model!$C$5*(($C61)+Model!$C$6*(F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678.603775281451</v>
      </c>
      <c r="N61" s="27" t="n">
        <f aca="false">$C$49+$C$45*((Model!$C$5*(($C61)+Model!$C$6*(G$54)))-(Model!$C$5*(($C$47)+Model!$C$6*($C$48)))-$C$46*(((((Model!$C$5*(($C61)+Model!$C$6*(G$54)))-($C$50))*NORMSDIST(((Model!$C$5*(($C61)+Model!$C$6*(G$54)))-($C$50))/Model!$C$7)+Model!$C$7*EXP(-((((Model!$C$5*(($C61)+Model!$C$6*(G$54)))-($C$50))/Model!$C$7)^2)/2)/SQRT(2*PI()))-(((Model!$C$5*(($C61)+Model!$C$6*(G$54)))-($C$51))*NORMSDIST(((Model!$C$5*(($C61)+Model!$C$6*(G$54)))-($C$51))/Model!$C$7)+Model!$C$7*EXP(-((((Model!$C$5*(($C61)+Model!$C$6*(G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711.355091410242</v>
      </c>
      <c r="O61" s="27" t="n">
        <f aca="false">$C$49+$C$45*((Model!$C$5*(($C61)+Model!$C$6*(H$54)))-(Model!$C$5*(($C$47)+Model!$C$6*($C$48)))-$C$46*(((((Model!$C$5*(($C61)+Model!$C$6*(H$54)))-($C$50))*NORMSDIST(((Model!$C$5*(($C61)+Model!$C$6*(H$54)))-($C$50))/Model!$C$7)+Model!$C$7*EXP(-((((Model!$C$5*(($C61)+Model!$C$6*(H$54)))-($C$50))/Model!$C$7)^2)/2)/SQRT(2*PI()))-(((Model!$C$5*(($C61)+Model!$C$6*(H$54)))-($C$51))*NORMSDIST(((Model!$C$5*(($C61)+Model!$C$6*(H$54)))-($C$51))/Model!$C$7)+Model!$C$7*EXP(-((((Model!$C$5*(($C61)+Model!$C$6*(H$54)))-($C$51))/Model!$C$7)^2)/2)/SQRT(2*PI())))-((((Model!$C$5*(($C$47)+Model!$C$6*($C$48)))-($C$50))*NORMSDIST(((Model!$C$5*(($C$47)+Model!$C$6*($C$48)))-($C$50))/Model!$C$7)+Model!$C$7*EXP(-((((Model!$C$5*(($C$47)+Model!$C$6*($C$48)))-($C$50))/Model!$C$7)^2)/2)/SQRT(2*PI()))-(((Model!$C$5*(($C$47)+Model!$C$6*($C$48)))-($C$51))*NORMSDIST(((Model!$C$5*(($C$47)+Model!$C$6*($C$48)))-($C$51))/Model!$C$7)+Model!$C$7*EXP(-((((Model!$C$5*(($C$47)+Model!$C$6*($C$48)))-($C$51))/Model!$C$7)^2)/2)/SQRT(2*PI())))))</f>
        <v>742.105298082733</v>
      </c>
      <c r="Q61" s="39" t="n">
        <f aca="false">C61</f>
        <v>41</v>
      </c>
      <c r="R61" s="48" t="n">
        <f aca="false">K61-D61</f>
        <v>-8.33716364577833</v>
      </c>
      <c r="S61" s="48" t="n">
        <f aca="false">L61-E61</f>
        <v>-6.76025685985496</v>
      </c>
      <c r="T61" s="48" t="n">
        <f aca="false">M61-F61</f>
        <v>-6.39622471854887</v>
      </c>
      <c r="U61" s="48" t="n">
        <f aca="false">N61-G61</f>
        <v>-7.64490858975853</v>
      </c>
      <c r="V61" s="48" t="n">
        <f aca="false">O61-H61</f>
        <v>-7.89470191726673</v>
      </c>
    </row>
    <row r="62" customFormat="false" ht="15" hidden="false" customHeight="false" outlineLevel="0" collapsed="false">
      <c r="B62" s="49" t="s">
        <v>146</v>
      </c>
      <c r="C62" s="50" t="n">
        <f aca="false">($C$49+$C$45*(1-$C$46)*Model!$C$5*((C55-$C$47)+(D54-$C$48))-D55)^2+($C$49+$C$45*(1-$C$46)*Model!$C$5*((C55-$C$47)+(E54-$C$48))-E55)^2+($C$49+$C$45*(1-$C$46)*Model!$C$5*((C55-$C$47)+(F54-$C$48))-F55)^2+($C$49+$C$45*(1-$C$46)*Model!$C$5*((C55-$C$47)+(G54-$C$48))-G55)^2+($C$49+$C$45*(1-$C$46)*Model!$C$5*((C55-$C$47)+(H54-$C$48))-H55)^2+($C$49+$C$45*(1-$C$46)*Model!$C$5*((C56-$C$47)+(D54-$C$48))-D56)^2+($C$49+$C$45*(1-$C$46)*Model!$C$5*((C56-$C$47)+(E54-$C$48))-E56)^2+($C$49+$C$45*(1-$C$46)*Model!$C$5*((C56-$C$47)+(F54-$C$48))-F56)^2+($C$49+$C$45*(1-$C$46)*Model!$C$5*((C56-$C$47)+(G54-$C$48))-G56)^2+($C$49+$C$45*(1-$C$46)*Model!$C$5*((C56-$C$47)+(H54-$C$48))-H56)^2+($C$49+$C$45*(1-$C$46)*Model!$C$5*((C57-$C$47)+(D54-$C$48))-D57)^2+($C$49+$C$45*(1-$C$46)*Model!$C$5*((C57-$C$47)+(E54-$C$48))-E57)^2+($C$49+$C$45*(1-$C$46)*Model!$C$5*((C57-$C$47)+(F54-$C$48))-F57)^2+($C$49+$C$45*(1-$C$46)*Model!$C$5*((C57-$C$47)+(G54-$C$48))-G57)^2+($C$49+$C$45*(1-$C$46)*Model!$C$5*((C57-$C$47)+(H54-$C$48))-H57)^2+($C$49+$C$45*(1-$C$46)*Model!$C$5*((C58-$C$47)+(D54-$C$48))-D58)^2+($C$49+$C$45*(1-$C$46)*Model!$C$5*((C58-$C$47)+(E54-$C$48))-E58)^2+($C$49+$C$45*(1-$C$46)*Model!$C$5*((C58-$C$47)+(F54-$C$48))-F58)^2+($C$49+$C$45*(1-$C$46)*Model!$C$5*((C58-$C$47)+(G54-$C$48))-G58)^2+($C$49+$C$45*(1-$C$46)*Model!$C$5*((C58-$C$47)+(H54-$C$48))-H58)^2+($C$49+$C$45*(1-$C$46)*Model!$C$5*((C59-$C$47)+(D54-$C$48))-D59)^2+($C$49+$C$45*(1-$C$46)*Model!$C$5*((C59-$C$47)+(E54-$C$48))-E59)^2+($C$49+$C$45*(1-$C$46)*Model!$C$5*((C59-$C$47)+(F54-$C$48))-F59)^2+($C$49+$C$45*(1-$C$46)*Model!$C$5*((C59-$C$47)+(G54-$C$48))-G59)^2+($C$49+$C$45*(1-$C$46)*Model!$C$5*((C59-$C$47)+(H54-$C$48))-H59)^2+($C$49+$C$45*(1-$C$46)*Model!$C$5*((C60-$C$47)+(D54-$C$48))-D60)^2+($C$49+$C$45*(1-$C$46)*Model!$C$5*((C60-$C$47)+(E54-$C$48))-E60)^2+($C$49+$C$45*(1-$C$46)*Model!$C$5*((C60-$C$47)+(F54-$C$48))-F60)^2+($C$49+$C$45*(1-$C$46)*Model!$C$5*((C60-$C$47)+(G54-$C$48))-G60)^2+($C$49+$C$45*(1-$C$46)*Model!$C$5*((C60-$C$47)+(H54-$C$48))-H60)^2+($C$49+$C$45*(1-$C$46)*Model!$C$5*((C61-$C$47)+(D54-$C$48))-D61)^2+($C$49+$C$45*(1-$C$46)*Model!$C$5*((C61-$C$47)+(E54-$C$48))-E61)^2+($C$49+$C$45*(1-$C$46)*Model!$C$5*((C61-$C$47)+(F54-$C$48))-F61)^2+($C$49+$C$45*(1-$C$46)*Model!$C$5*((C61-$C$47)+(G54-$C$48))-G61)^2+($C$49+$C$45*(1-$C$46)*Model!$C$5*((C61-$C$47)+(H54-$C$48))-H61)^2</f>
        <v>120569.15575</v>
      </c>
    </row>
    <row r="65" customFormat="false" ht="15" hidden="false" customHeight="false" outlineLevel="0" collapsed="false">
      <c r="B65" s="42" t="s">
        <v>126</v>
      </c>
      <c r="C65" s="43" t="s">
        <v>148</v>
      </c>
    </row>
    <row r="66" customFormat="false" ht="15" hidden="false" customHeight="false" outlineLevel="0" collapsed="false">
      <c r="B66" s="4" t="s">
        <v>114</v>
      </c>
      <c r="C66" s="33" t="s">
        <v>123</v>
      </c>
    </row>
    <row r="67" customFormat="false" ht="15" hidden="false" customHeight="false" outlineLevel="0" collapsed="false">
      <c r="B67" s="4" t="s">
        <v>135</v>
      </c>
      <c r="C67" s="6" t="n">
        <v>8</v>
      </c>
    </row>
    <row r="68" customFormat="false" ht="15" hidden="false" customHeight="false" outlineLevel="0" collapsed="false">
      <c r="B68" s="4" t="s">
        <v>136</v>
      </c>
      <c r="C68" s="11" t="n">
        <f aca="false">C67/12</f>
        <v>0.666666666666667</v>
      </c>
    </row>
    <row r="69" customFormat="false" ht="15" hidden="false" customHeight="false" outlineLevel="0" collapsed="false">
      <c r="B69" s="4" t="s">
        <v>52</v>
      </c>
      <c r="C69" s="15" t="n">
        <v>0.81</v>
      </c>
    </row>
    <row r="70" customFormat="false" ht="15" hidden="false" customHeight="false" outlineLevel="0" collapsed="false">
      <c r="B70" s="4" t="s">
        <v>137</v>
      </c>
      <c r="C70" s="7" t="n">
        <v>65</v>
      </c>
    </row>
    <row r="71" customFormat="false" ht="15" hidden="false" customHeight="false" outlineLevel="0" collapsed="false">
      <c r="B71" s="4" t="s">
        <v>138</v>
      </c>
      <c r="C71" s="7" t="n">
        <v>19</v>
      </c>
    </row>
    <row r="72" customFormat="false" ht="15" hidden="false" customHeight="false" outlineLevel="0" collapsed="false">
      <c r="B72" s="4" t="s">
        <v>139</v>
      </c>
      <c r="C72" s="18" t="n">
        <f aca="false">INDEX(D78:H84,MATCH(C70,C78:C84,0),MATCH(C71,D77:H77,0))</f>
        <v>807</v>
      </c>
    </row>
    <row r="73" customFormat="false" ht="15" hidden="false" customHeight="false" outlineLevel="0" collapsed="false">
      <c r="B73" s="4" t="s">
        <v>140</v>
      </c>
      <c r="C73" s="18" t="n">
        <f aca="false">INDEX($C$6:$C$8,MATCH(C66,$B$6:$B$8,0))</f>
        <v>690</v>
      </c>
    </row>
    <row r="74" customFormat="false" ht="15" hidden="false" customHeight="false" outlineLevel="0" collapsed="false">
      <c r="B74" s="4" t="s">
        <v>141</v>
      </c>
      <c r="C74" s="18" t="n">
        <f aca="false">INDEX($D$6:$D$8,MATCH(C66,$B$6:$B$8,0))</f>
        <v>1005</v>
      </c>
    </row>
    <row r="76" customFormat="false" ht="15" hidden="false" customHeight="false" outlineLevel="0" collapsed="false">
      <c r="C76" s="3" t="s">
        <v>142</v>
      </c>
      <c r="J76" s="3" t="s">
        <v>143</v>
      </c>
      <c r="Q76" s="3" t="s">
        <v>144</v>
      </c>
    </row>
    <row r="77" customFormat="false" ht="15" hidden="false" customHeight="false" outlineLevel="0" collapsed="false">
      <c r="C77" s="44" t="s">
        <v>145</v>
      </c>
      <c r="D77" s="45" t="n">
        <v>9</v>
      </c>
      <c r="E77" s="45" t="n">
        <v>14</v>
      </c>
      <c r="F77" s="45" t="n">
        <v>19</v>
      </c>
      <c r="G77" s="45" t="n">
        <v>24</v>
      </c>
      <c r="H77" s="45" t="n">
        <v>29</v>
      </c>
      <c r="J77" s="44" t="s">
        <v>145</v>
      </c>
      <c r="K77" s="46" t="n">
        <f aca="false">D77</f>
        <v>9</v>
      </c>
      <c r="L77" s="46" t="n">
        <f aca="false">E77</f>
        <v>14</v>
      </c>
      <c r="M77" s="46" t="n">
        <f aca="false">F77</f>
        <v>19</v>
      </c>
      <c r="N77" s="46" t="n">
        <f aca="false">G77</f>
        <v>24</v>
      </c>
      <c r="O77" s="46" t="n">
        <f aca="false">H77</f>
        <v>29</v>
      </c>
      <c r="Q77" s="44" t="s">
        <v>145</v>
      </c>
      <c r="R77" s="46" t="n">
        <f aca="false">D77</f>
        <v>9</v>
      </c>
      <c r="S77" s="46" t="n">
        <f aca="false">E77</f>
        <v>14</v>
      </c>
      <c r="T77" s="46" t="n">
        <f aca="false">F77</f>
        <v>19</v>
      </c>
      <c r="U77" s="46" t="n">
        <f aca="false">G77</f>
        <v>24</v>
      </c>
      <c r="V77" s="46" t="n">
        <f aca="false">H77</f>
        <v>29</v>
      </c>
    </row>
    <row r="78" customFormat="false" ht="15" hidden="false" customHeight="false" outlineLevel="0" collapsed="false">
      <c r="C78" s="6" t="n">
        <v>95</v>
      </c>
      <c r="D78" s="47" t="n">
        <v>874</v>
      </c>
      <c r="E78" s="47" t="n">
        <v>893</v>
      </c>
      <c r="F78" s="47" t="n">
        <v>906</v>
      </c>
      <c r="G78" s="47" t="n">
        <v>920</v>
      </c>
      <c r="H78" s="47" t="n">
        <v>934</v>
      </c>
      <c r="J78" s="39" t="n">
        <f aca="false">C78</f>
        <v>95</v>
      </c>
      <c r="K78" s="27" t="n">
        <f aca="false">$C$72+$C$68*((Model!$C$5*(($C78)+Model!$C$6*(D$77)))-(Model!$C$5*(($C$70)+Model!$C$6*($C$71)))-$C$69*(((((Model!$C$5*(($C78)+Model!$C$6*(D$77)))-($C$73))*NORMSDIST(((Model!$C$5*(($C78)+Model!$C$6*(D$77)))-($C$73))/Model!$C$7)+Model!$C$7*EXP(-((((Model!$C$5*(($C78)+Model!$C$6*(D$77)))-($C$73))/Model!$C$7)^2)/2)/SQRT(2*PI()))-(((Model!$C$5*(($C78)+Model!$C$6*(D$77)))-($C$74))*NORMSDIST(((Model!$C$5*(($C78)+Model!$C$6*(D$77)))-($C$74))/Model!$C$7)+Model!$C$7*EXP(-((((Model!$C$5*(($C78)+Model!$C$6*(D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860.891052172971</v>
      </c>
      <c r="L78" s="27" t="n">
        <f aca="false">$C$72+$C$68*((Model!$C$5*(($C78)+Model!$C$6*(E$77)))-(Model!$C$5*(($C$70)+Model!$C$6*($C$71)))-$C$69*(((((Model!$C$5*(($C78)+Model!$C$6*(E$77)))-($C$73))*NORMSDIST(((Model!$C$5*(($C78)+Model!$C$6*(E$77)))-($C$73))/Model!$C$7)+Model!$C$7*EXP(-((((Model!$C$5*(($C78)+Model!$C$6*(E$77)))-($C$73))/Model!$C$7)^2)/2)/SQRT(2*PI()))-(((Model!$C$5*(($C78)+Model!$C$6*(E$77)))-($C$74))*NORMSDIST(((Model!$C$5*(($C78)+Model!$C$6*(E$77)))-($C$74))/Model!$C$7)+Model!$C$7*EXP(-((((Model!$C$5*(($C78)+Model!$C$6*(E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876.066238850349</v>
      </c>
      <c r="M78" s="27" t="n">
        <f aca="false">$C$72+$C$68*((Model!$C$5*(($C78)+Model!$C$6*(F$77)))-(Model!$C$5*(($C$70)+Model!$C$6*($C$71)))-$C$69*(((((Model!$C$5*(($C78)+Model!$C$6*(F$77)))-($C$73))*NORMSDIST(((Model!$C$5*(($C78)+Model!$C$6*(F$77)))-($C$73))/Model!$C$7)+Model!$C$7*EXP(-((((Model!$C$5*(($C78)+Model!$C$6*(F$77)))-($C$73))/Model!$C$7)^2)/2)/SQRT(2*PI()))-(((Model!$C$5*(($C78)+Model!$C$6*(F$77)))-($C$74))*NORMSDIST(((Model!$C$5*(($C78)+Model!$C$6*(F$77)))-($C$74))/Model!$C$7)+Model!$C$7*EXP(-((((Model!$C$5*(($C78)+Model!$C$6*(F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891.682262791295</v>
      </c>
      <c r="N78" s="27" t="n">
        <f aca="false">$C$72+$C$68*((Model!$C$5*(($C78)+Model!$C$6*(G$77)))-(Model!$C$5*(($C$70)+Model!$C$6*($C$71)))-$C$69*(((((Model!$C$5*(($C78)+Model!$C$6*(G$77)))-($C$73))*NORMSDIST(((Model!$C$5*(($C78)+Model!$C$6*(G$77)))-($C$73))/Model!$C$7)+Model!$C$7*EXP(-((((Model!$C$5*(($C78)+Model!$C$6*(G$77)))-($C$73))/Model!$C$7)^2)/2)/SQRT(2*PI()))-(((Model!$C$5*(($C78)+Model!$C$6*(G$77)))-($C$74))*NORMSDIST(((Model!$C$5*(($C78)+Model!$C$6*(G$77)))-($C$74))/Model!$C$7)+Model!$C$7*EXP(-((((Model!$C$5*(($C78)+Model!$C$6*(G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908.3947162205</v>
      </c>
      <c r="O78" s="27" t="n">
        <f aca="false">$C$72+$C$68*((Model!$C$5*(($C78)+Model!$C$6*(H$77)))-(Model!$C$5*(($C$70)+Model!$C$6*($C$71)))-$C$69*(((((Model!$C$5*(($C78)+Model!$C$6*(H$77)))-($C$73))*NORMSDIST(((Model!$C$5*(($C78)+Model!$C$6*(H$77)))-($C$73))/Model!$C$7)+Model!$C$7*EXP(-((((Model!$C$5*(($C78)+Model!$C$6*(H$77)))-($C$73))/Model!$C$7)^2)/2)/SQRT(2*PI()))-(((Model!$C$5*(($C78)+Model!$C$6*(H$77)))-($C$74))*NORMSDIST(((Model!$C$5*(($C78)+Model!$C$6*(H$77)))-($C$74))/Model!$C$7)+Model!$C$7*EXP(-((((Model!$C$5*(($C78)+Model!$C$6*(H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926.714342245985</v>
      </c>
      <c r="Q78" s="39" t="n">
        <f aca="false">C78</f>
        <v>95</v>
      </c>
      <c r="R78" s="48" t="n">
        <f aca="false">K78-D78</f>
        <v>-13.1089478270295</v>
      </c>
      <c r="S78" s="48" t="n">
        <f aca="false">L78-E78</f>
        <v>-16.9337611496513</v>
      </c>
      <c r="T78" s="48" t="n">
        <f aca="false">M78-F78</f>
        <v>-14.3177372087048</v>
      </c>
      <c r="U78" s="48" t="n">
        <f aca="false">N78-G78</f>
        <v>-11.6052837795005</v>
      </c>
      <c r="V78" s="48" t="n">
        <f aca="false">O78-H78</f>
        <v>-7.28565775401466</v>
      </c>
    </row>
    <row r="79" customFormat="false" ht="15" hidden="false" customHeight="false" outlineLevel="0" collapsed="false">
      <c r="C79" s="6" t="n">
        <v>85</v>
      </c>
      <c r="D79" s="47" t="n">
        <v>840</v>
      </c>
      <c r="E79" s="47" t="n">
        <v>867</v>
      </c>
      <c r="F79" s="47" t="n">
        <v>890</v>
      </c>
      <c r="G79" s="47" t="n">
        <v>907</v>
      </c>
      <c r="H79" s="47" t="n">
        <v>920</v>
      </c>
      <c r="J79" s="39" t="n">
        <f aca="false">C79</f>
        <v>85</v>
      </c>
      <c r="K79" s="27" t="n">
        <f aca="false">$C$72+$C$68*((Model!$C$5*(($C79)+Model!$C$6*(D$77)))-(Model!$C$5*(($C$70)+Model!$C$6*($C$71)))-$C$69*(((((Model!$C$5*(($C79)+Model!$C$6*(D$77)))-($C$73))*NORMSDIST(((Model!$C$5*(($C79)+Model!$C$6*(D$77)))-($C$73))/Model!$C$7)+Model!$C$7*EXP(-((((Model!$C$5*(($C79)+Model!$C$6*(D$77)))-($C$73))/Model!$C$7)^2)/2)/SQRT(2*PI()))-(((Model!$C$5*(($C79)+Model!$C$6*(D$77)))-($C$74))*NORMSDIST(((Model!$C$5*(($C79)+Model!$C$6*(D$77)))-($C$74))/Model!$C$7)+Model!$C$7*EXP(-((((Model!$C$5*(($C79)+Model!$C$6*(D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833.442721262081</v>
      </c>
      <c r="L79" s="27" t="n">
        <f aca="false">$C$72+$C$68*((Model!$C$5*(($C79)+Model!$C$6*(E$77)))-(Model!$C$5*(($C$70)+Model!$C$6*($C$71)))-$C$69*(((((Model!$C$5*(($C79)+Model!$C$6*(E$77)))-($C$73))*NORMSDIST(((Model!$C$5*(($C79)+Model!$C$6*(E$77)))-($C$73))/Model!$C$7)+Model!$C$7*EXP(-((((Model!$C$5*(($C79)+Model!$C$6*(E$77)))-($C$73))/Model!$C$7)^2)/2)/SQRT(2*PI()))-(((Model!$C$5*(($C79)+Model!$C$6*(E$77)))-($C$74))*NORMSDIST(((Model!$C$5*(($C79)+Model!$C$6*(E$77)))-($C$74))/Model!$C$7)+Model!$C$7*EXP(-((((Model!$C$5*(($C79)+Model!$C$6*(E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849.537456468477</v>
      </c>
      <c r="M79" s="27" t="n">
        <f aca="false">$C$72+$C$68*((Model!$C$5*(($C79)+Model!$C$6*(F$77)))-(Model!$C$5*(($C$70)+Model!$C$6*($C$71)))-$C$69*(((((Model!$C$5*(($C79)+Model!$C$6*(F$77)))-($C$73))*NORMSDIST(((Model!$C$5*(($C79)+Model!$C$6*(F$77)))-($C$73))/Model!$C$7)+Model!$C$7*EXP(-((((Model!$C$5*(($C79)+Model!$C$6*(F$77)))-($C$73))/Model!$C$7)^2)/2)/SQRT(2*PI()))-(((Model!$C$5*(($C79)+Model!$C$6*(F$77)))-($C$74))*NORMSDIST(((Model!$C$5*(($C79)+Model!$C$6*(F$77)))-($C$74))/Model!$C$7)+Model!$C$7*EXP(-((((Model!$C$5*(($C79)+Model!$C$6*(F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864.847172225436</v>
      </c>
      <c r="N79" s="27" t="n">
        <f aca="false">$C$72+$C$68*((Model!$C$5*(($C79)+Model!$C$6*(G$77)))-(Model!$C$5*(($C$70)+Model!$C$6*($C$71)))-$C$69*(((((Model!$C$5*(($C79)+Model!$C$6*(G$77)))-($C$73))*NORMSDIST(((Model!$C$5*(($C79)+Model!$C$6*(G$77)))-($C$73))/Model!$C$7)+Model!$C$7*EXP(-((((Model!$C$5*(($C79)+Model!$C$6*(G$77)))-($C$73))/Model!$C$7)^2)/2)/SQRT(2*PI()))-(((Model!$C$5*(($C79)+Model!$C$6*(G$77)))-($C$74))*NORMSDIST(((Model!$C$5*(($C79)+Model!$C$6*(G$77)))-($C$74))/Model!$C$7)+Model!$C$7*EXP(-((((Model!$C$5*(($C79)+Model!$C$6*(G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880.069104402168</v>
      </c>
      <c r="O79" s="27" t="n">
        <f aca="false">$C$72+$C$68*((Model!$C$5*(($C79)+Model!$C$6*(H$77)))-(Model!$C$5*(($C$70)+Model!$C$6*($C$71)))-$C$69*(((((Model!$C$5*(($C79)+Model!$C$6*(H$77)))-($C$73))*NORMSDIST(((Model!$C$5*(($C79)+Model!$C$6*(H$77)))-($C$73))/Model!$C$7)+Model!$C$7*EXP(-((((Model!$C$5*(($C79)+Model!$C$6*(H$77)))-($C$73))/Model!$C$7)^2)/2)/SQRT(2*PI()))-(((Model!$C$5*(($C79)+Model!$C$6*(H$77)))-($C$74))*NORMSDIST(((Model!$C$5*(($C79)+Model!$C$6*(H$77)))-($C$74))/Model!$C$7)+Model!$C$7*EXP(-((((Model!$C$5*(($C79)+Model!$C$6*(H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895.912514205142</v>
      </c>
      <c r="Q79" s="39" t="n">
        <f aca="false">C79</f>
        <v>85</v>
      </c>
      <c r="R79" s="48" t="n">
        <f aca="false">K79-D79</f>
        <v>-6.55727873791943</v>
      </c>
      <c r="S79" s="48" t="n">
        <f aca="false">L79-E79</f>
        <v>-17.4625435315234</v>
      </c>
      <c r="T79" s="48" t="n">
        <f aca="false">M79-F79</f>
        <v>-25.1528277745645</v>
      </c>
      <c r="U79" s="48" t="n">
        <f aca="false">N79-G79</f>
        <v>-26.9308955978324</v>
      </c>
      <c r="V79" s="48" t="n">
        <f aca="false">O79-H79</f>
        <v>-24.0874857948581</v>
      </c>
    </row>
    <row r="80" customFormat="false" ht="15" hidden="false" customHeight="false" outlineLevel="0" collapsed="false">
      <c r="C80" s="6" t="n">
        <v>75</v>
      </c>
      <c r="D80" s="47" t="n">
        <v>809</v>
      </c>
      <c r="E80" s="47" t="n">
        <v>826</v>
      </c>
      <c r="F80" s="47" t="n">
        <v>851</v>
      </c>
      <c r="G80" s="47" t="n">
        <v>877</v>
      </c>
      <c r="H80" s="47" t="n">
        <v>898</v>
      </c>
      <c r="J80" s="39" t="n">
        <f aca="false">C80</f>
        <v>75</v>
      </c>
      <c r="K80" s="27" t="n">
        <f aca="false">$C$72+$C$68*((Model!$C$5*(($C80)+Model!$C$6*(D$77)))-(Model!$C$5*(($C$70)+Model!$C$6*($C$71)))-$C$69*(((((Model!$C$5*(($C80)+Model!$C$6*(D$77)))-($C$73))*NORMSDIST(((Model!$C$5*(($C80)+Model!$C$6*(D$77)))-($C$73))/Model!$C$7)+Model!$C$7*EXP(-((((Model!$C$5*(($C80)+Model!$C$6*(D$77)))-($C$73))/Model!$C$7)^2)/2)/SQRT(2*PI()))-(((Model!$C$5*(($C80)+Model!$C$6*(D$77)))-($C$74))*NORMSDIST(((Model!$C$5*(($C80)+Model!$C$6*(D$77)))-($C$74))/Model!$C$7)+Model!$C$7*EXP(-((((Model!$C$5*(($C80)+Model!$C$6*(D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801.921836560804</v>
      </c>
      <c r="L80" s="27" t="n">
        <f aca="false">$C$72+$C$68*((Model!$C$5*(($C80)+Model!$C$6*(E$77)))-(Model!$C$5*(($C$70)+Model!$C$6*($C$71)))-$C$69*(((((Model!$C$5*(($C80)+Model!$C$6*(E$77)))-($C$73))*NORMSDIST(((Model!$C$5*(($C80)+Model!$C$6*(E$77)))-($C$73))/Model!$C$7)+Model!$C$7*EXP(-((((Model!$C$5*(($C80)+Model!$C$6*(E$77)))-($C$73))/Model!$C$7)^2)/2)/SQRT(2*PI()))-(((Model!$C$5*(($C80)+Model!$C$6*(E$77)))-($C$74))*NORMSDIST(((Model!$C$5*(($C80)+Model!$C$6*(E$77)))-($C$74))/Model!$C$7)+Model!$C$7*EXP(-((((Model!$C$5*(($C80)+Model!$C$6*(E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820.688653938342</v>
      </c>
      <c r="M80" s="27" t="n">
        <f aca="false">$C$72+$C$68*((Model!$C$5*(($C80)+Model!$C$6*(F$77)))-(Model!$C$5*(($C$70)+Model!$C$6*($C$71)))-$C$69*(((((Model!$C$5*(($C80)+Model!$C$6*(F$77)))-($C$73))*NORMSDIST(((Model!$C$5*(($C80)+Model!$C$6*(F$77)))-($C$73))/Model!$C$7)+Model!$C$7*EXP(-((((Model!$C$5*(($C80)+Model!$C$6*(F$77)))-($C$73))/Model!$C$7)^2)/2)/SQRT(2*PI()))-(((Model!$C$5*(($C80)+Model!$C$6*(F$77)))-($C$74))*NORMSDIST(((Model!$C$5*(($C80)+Model!$C$6*(F$77)))-($C$74))/Model!$C$7)+Model!$C$7*EXP(-((((Model!$C$5*(($C80)+Model!$C$6*(F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837.752754470847</v>
      </c>
      <c r="N80" s="27" t="n">
        <f aca="false">$C$72+$C$68*((Model!$C$5*(($C80)+Model!$C$6*(G$77)))-(Model!$C$5*(($C$70)+Model!$C$6*($C$71)))-$C$69*(((((Model!$C$5*(($C80)+Model!$C$6*(G$77)))-($C$73))*NORMSDIST(((Model!$C$5*(($C80)+Model!$C$6*(G$77)))-($C$73))/Model!$C$7)+Model!$C$7*EXP(-((((Model!$C$5*(($C80)+Model!$C$6*(G$77)))-($C$73))/Model!$C$7)^2)/2)/SQRT(2*PI()))-(((Model!$C$5*(($C80)+Model!$C$6*(G$77)))-($C$74))*NORMSDIST(((Model!$C$5*(($C80)+Model!$C$6*(G$77)))-($C$74))/Model!$C$7)+Model!$C$7*EXP(-((((Model!$C$5*(($C80)+Model!$C$6*(G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853.579893395394</v>
      </c>
      <c r="O80" s="27" t="n">
        <f aca="false">$C$72+$C$68*((Model!$C$5*(($C80)+Model!$C$6*(H$77)))-(Model!$C$5*(($C$70)+Model!$C$6*($C$71)))-$C$69*(((((Model!$C$5*(($C80)+Model!$C$6*(H$77)))-($C$73))*NORMSDIST(((Model!$C$5*(($C80)+Model!$C$6*(H$77)))-($C$73))/Model!$C$7)+Model!$C$7*EXP(-((((Model!$C$5*(($C80)+Model!$C$6*(H$77)))-($C$73))/Model!$C$7)^2)/2)/SQRT(2*PI()))-(((Model!$C$5*(($C80)+Model!$C$6*(H$77)))-($C$74))*NORMSDIST(((Model!$C$5*(($C80)+Model!$C$6*(H$77)))-($C$74))/Model!$C$7)+Model!$C$7*EXP(-((((Model!$C$5*(($C80)+Model!$C$6*(H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868.797252910034</v>
      </c>
      <c r="Q80" s="39" t="n">
        <f aca="false">C80</f>
        <v>75</v>
      </c>
      <c r="R80" s="48" t="n">
        <f aca="false">K80-D80</f>
        <v>-7.07816343919603</v>
      </c>
      <c r="S80" s="48" t="n">
        <f aca="false">L80-E80</f>
        <v>-5.31134606165767</v>
      </c>
      <c r="T80" s="48" t="n">
        <f aca="false">M80-F80</f>
        <v>-13.2472455291527</v>
      </c>
      <c r="U80" s="48" t="n">
        <f aca="false">N80-G80</f>
        <v>-23.4201066046062</v>
      </c>
      <c r="V80" s="48" t="n">
        <f aca="false">O80-H80</f>
        <v>-29.2027470899662</v>
      </c>
    </row>
    <row r="81" customFormat="false" ht="15" hidden="false" customHeight="false" outlineLevel="0" collapsed="false">
      <c r="C81" s="6" t="n">
        <v>65</v>
      </c>
      <c r="D81" s="47" t="n">
        <v>772</v>
      </c>
      <c r="E81" s="47" t="n">
        <v>793</v>
      </c>
      <c r="F81" s="47" t="n">
        <v>807</v>
      </c>
      <c r="G81" s="47" t="n">
        <v>827</v>
      </c>
      <c r="H81" s="47" t="n">
        <v>853</v>
      </c>
      <c r="J81" s="39" t="n">
        <f aca="false">C81</f>
        <v>65</v>
      </c>
      <c r="K81" s="27" t="n">
        <f aca="false">$C$72+$C$68*((Model!$C$5*(($C81)+Model!$C$6*(D$77)))-(Model!$C$5*(($C$70)+Model!$C$6*($C$71)))-$C$69*(((((Model!$C$5*(($C81)+Model!$C$6*(D$77)))-($C$73))*NORMSDIST(((Model!$C$5*(($C81)+Model!$C$6*(D$77)))-($C$73))/Model!$C$7)+Model!$C$7*EXP(-((((Model!$C$5*(($C81)+Model!$C$6*(D$77)))-($C$73))/Model!$C$7)^2)/2)/SQRT(2*PI()))-(((Model!$C$5*(($C81)+Model!$C$6*(D$77)))-($C$74))*NORMSDIST(((Model!$C$5*(($C81)+Model!$C$6*(D$77)))-($C$74))/Model!$C$7)+Model!$C$7*EXP(-((((Model!$C$5*(($C81)+Model!$C$6*(D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764.576276319472</v>
      </c>
      <c r="L81" s="27" t="n">
        <f aca="false">$C$72+$C$68*((Model!$C$5*(($C81)+Model!$C$6*(E$77)))-(Model!$C$5*(($C$70)+Model!$C$6*($C$71)))-$C$69*(((((Model!$C$5*(($C81)+Model!$C$6*(E$77)))-($C$73))*NORMSDIST(((Model!$C$5*(($C81)+Model!$C$6*(E$77)))-($C$73))/Model!$C$7)+Model!$C$7*EXP(-((((Model!$C$5*(($C81)+Model!$C$6*(E$77)))-($C$73))/Model!$C$7)^2)/2)/SQRT(2*PI()))-(((Model!$C$5*(($C81)+Model!$C$6*(E$77)))-($C$74))*NORMSDIST(((Model!$C$5*(($C81)+Model!$C$6*(E$77)))-($C$74))/Model!$C$7)+Model!$C$7*EXP(-((((Model!$C$5*(($C81)+Model!$C$6*(E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786.79602879598</v>
      </c>
      <c r="M81" s="27" t="n">
        <f aca="false">$C$72+$C$68*((Model!$C$5*(($C81)+Model!$C$6*(F$77)))-(Model!$C$5*(($C$70)+Model!$C$6*($C$71)))-$C$69*(((((Model!$C$5*(($C81)+Model!$C$6*(F$77)))-($C$73))*NORMSDIST(((Model!$C$5*(($C81)+Model!$C$6*(F$77)))-($C$73))/Model!$C$7)+Model!$C$7*EXP(-((((Model!$C$5*(($C81)+Model!$C$6*(F$77)))-($C$73))/Model!$C$7)^2)/2)/SQRT(2*PI()))-(((Model!$C$5*(($C81)+Model!$C$6*(F$77)))-($C$74))*NORMSDIST(((Model!$C$5*(($C81)+Model!$C$6*(F$77)))-($C$74))/Model!$C$7)+Model!$C$7*EXP(-((((Model!$C$5*(($C81)+Model!$C$6*(F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807</v>
      </c>
      <c r="N81" s="27" t="n">
        <f aca="false">$C$72+$C$68*((Model!$C$5*(($C81)+Model!$C$6*(G$77)))-(Model!$C$5*(($C$70)+Model!$C$6*($C$71)))-$C$69*(((((Model!$C$5*(($C81)+Model!$C$6*(G$77)))-($C$73))*NORMSDIST(((Model!$C$5*(($C81)+Model!$C$6*(G$77)))-($C$73))/Model!$C$7)+Model!$C$7*EXP(-((((Model!$C$5*(($C81)+Model!$C$6*(G$77)))-($C$73))/Model!$C$7)^2)/2)/SQRT(2*PI()))-(((Model!$C$5*(($C81)+Model!$C$6*(G$77)))-($C$74))*NORMSDIST(((Model!$C$5*(($C81)+Model!$C$6*(G$77)))-($C$74))/Model!$C$7)+Model!$C$7*EXP(-((((Model!$C$5*(($C81)+Model!$C$6*(G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825.288866128444</v>
      </c>
      <c r="O81" s="27" t="n">
        <f aca="false">$C$72+$C$68*((Model!$C$5*(($C81)+Model!$C$6*(H$77)))-(Model!$C$5*(($C$70)+Model!$C$6*($C$71)))-$C$69*(((((Model!$C$5*(($C81)+Model!$C$6*(H$77)))-($C$73))*NORMSDIST(((Model!$C$5*(($C81)+Model!$C$6*(H$77)))-($C$73))/Model!$C$7)+Model!$C$7*EXP(-((((Model!$C$5*(($C81)+Model!$C$6*(H$77)))-($C$73))/Model!$C$7)^2)/2)/SQRT(2*PI()))-(((Model!$C$5*(($C81)+Model!$C$6*(H$77)))-($C$74))*NORMSDIST(((Model!$C$5*(($C81)+Model!$C$6*(H$77)))-($C$74))/Model!$C$7)+Model!$C$7*EXP(-((((Model!$C$5*(($C81)+Model!$C$6*(H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841.977731431832</v>
      </c>
      <c r="Q81" s="39" t="n">
        <f aca="false">C81</f>
        <v>65</v>
      </c>
      <c r="R81" s="48" t="n">
        <f aca="false">K81-D81</f>
        <v>-7.4237236805285</v>
      </c>
      <c r="S81" s="48" t="n">
        <f aca="false">L81-E81</f>
        <v>-6.20397120402038</v>
      </c>
      <c r="T81" s="48" t="n">
        <f aca="false">M81-F81</f>
        <v>0</v>
      </c>
      <c r="U81" s="48" t="n">
        <f aca="false">N81-G81</f>
        <v>-1.71113387155617</v>
      </c>
      <c r="V81" s="48" t="n">
        <f aca="false">O81-H81</f>
        <v>-11.0222685681681</v>
      </c>
    </row>
    <row r="82" customFormat="false" ht="15" hidden="false" customHeight="false" outlineLevel="0" collapsed="false">
      <c r="C82" s="6" t="n">
        <v>55</v>
      </c>
      <c r="D82" s="47" t="n">
        <v>729</v>
      </c>
      <c r="E82" s="47" t="n">
        <v>759</v>
      </c>
      <c r="F82" s="47" t="n">
        <v>785</v>
      </c>
      <c r="G82" s="47" t="n">
        <v>803</v>
      </c>
      <c r="H82" s="47" t="n">
        <v>818</v>
      </c>
      <c r="J82" s="39" t="n">
        <f aca="false">C82</f>
        <v>55</v>
      </c>
      <c r="K82" s="27" t="n">
        <f aca="false">$C$72+$C$68*((Model!$C$5*(($C82)+Model!$C$6*(D$77)))-(Model!$C$5*(($C$70)+Model!$C$6*($C$71)))-$C$69*(((((Model!$C$5*(($C82)+Model!$C$6*(D$77)))-($C$73))*NORMSDIST(((Model!$C$5*(($C82)+Model!$C$6*(D$77)))-($C$73))/Model!$C$7)+Model!$C$7*EXP(-((((Model!$C$5*(($C82)+Model!$C$6*(D$77)))-($C$73))/Model!$C$7)^2)/2)/SQRT(2*PI()))-(((Model!$C$5*(($C82)+Model!$C$6*(D$77)))-($C$74))*NORMSDIST(((Model!$C$5*(($C82)+Model!$C$6*(D$77)))-($C$74))/Model!$C$7)+Model!$C$7*EXP(-((((Model!$C$5*(($C82)+Model!$C$6*(D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721.482324162972</v>
      </c>
      <c r="L82" s="27" t="n">
        <f aca="false">$C$72+$C$68*((Model!$C$5*(($C82)+Model!$C$6*(E$77)))-(Model!$C$5*(($C$70)+Model!$C$6*($C$71)))-$C$69*(((((Model!$C$5*(($C82)+Model!$C$6*(E$77)))-($C$73))*NORMSDIST(((Model!$C$5*(($C82)+Model!$C$6*(E$77)))-($C$73))/Model!$C$7)+Model!$C$7*EXP(-((((Model!$C$5*(($C82)+Model!$C$6*(E$77)))-($C$73))/Model!$C$7)^2)/2)/SQRT(2*PI()))-(((Model!$C$5*(($C82)+Model!$C$6*(E$77)))-($C$74))*NORMSDIST(((Model!$C$5*(($C82)+Model!$C$6*(E$77)))-($C$74))/Model!$C$7)+Model!$C$7*EXP(-((((Model!$C$5*(($C82)+Model!$C$6*(E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746.904947445783</v>
      </c>
      <c r="M82" s="27" t="n">
        <f aca="false">$C$72+$C$68*((Model!$C$5*(($C82)+Model!$C$6*(F$77)))-(Model!$C$5*(($C$70)+Model!$C$6*($C$71)))-$C$69*(((((Model!$C$5*(($C82)+Model!$C$6*(F$77)))-($C$73))*NORMSDIST(((Model!$C$5*(($C82)+Model!$C$6*(F$77)))-($C$73))/Model!$C$7)+Model!$C$7*EXP(-((((Model!$C$5*(($C82)+Model!$C$6*(F$77)))-($C$73))/Model!$C$7)^2)/2)/SQRT(2*PI()))-(((Model!$C$5*(($C82)+Model!$C$6*(F$77)))-($C$74))*NORMSDIST(((Model!$C$5*(($C82)+Model!$C$6*(F$77)))-($C$74))/Model!$C$7)+Model!$C$7*EXP(-((((Model!$C$5*(($C82)+Model!$C$6*(F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770.564938769245</v>
      </c>
      <c r="N82" s="27" t="n">
        <f aca="false">$C$72+$C$68*((Model!$C$5*(($C82)+Model!$C$6*(G$77)))-(Model!$C$5*(($C$70)+Model!$C$6*($C$71)))-$C$69*(((((Model!$C$5*(($C82)+Model!$C$6*(G$77)))-($C$73))*NORMSDIST(((Model!$C$5*(($C82)+Model!$C$6*(G$77)))-($C$73))/Model!$C$7)+Model!$C$7*EXP(-((((Model!$C$5*(($C82)+Model!$C$6*(G$77)))-($C$73))/Model!$C$7)^2)/2)/SQRT(2*PI()))-(((Model!$C$5*(($C82)+Model!$C$6*(G$77)))-($C$74))*NORMSDIST(((Model!$C$5*(($C82)+Model!$C$6*(G$77)))-($C$74))/Model!$C$7)+Model!$C$7*EXP(-((((Model!$C$5*(($C82)+Model!$C$6*(G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792.260574459183</v>
      </c>
      <c r="O82" s="27" t="n">
        <f aca="false">$C$72+$C$68*((Model!$C$5*(($C82)+Model!$C$6*(H$77)))-(Model!$C$5*(($C$70)+Model!$C$6*($C$71)))-$C$69*(((((Model!$C$5*(($C82)+Model!$C$6*(H$77)))-($C$73))*NORMSDIST(((Model!$C$5*(($C82)+Model!$C$6*(H$77)))-($C$73))/Model!$C$7)+Model!$C$7*EXP(-((((Model!$C$5*(($C82)+Model!$C$6*(H$77)))-($C$73))/Model!$C$7)^2)/2)/SQRT(2*PI()))-(((Model!$C$5*(($C82)+Model!$C$6*(H$77)))-($C$74))*NORMSDIST(((Model!$C$5*(($C82)+Model!$C$6*(H$77)))-($C$74))/Model!$C$7)+Model!$C$7*EXP(-((((Model!$C$5*(($C82)+Model!$C$6*(H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811.946674099811</v>
      </c>
      <c r="Q82" s="39" t="n">
        <f aca="false">C82</f>
        <v>55</v>
      </c>
      <c r="R82" s="48" t="n">
        <f aca="false">K82-D82</f>
        <v>-7.51767583702792</v>
      </c>
      <c r="S82" s="48" t="n">
        <f aca="false">L82-E82</f>
        <v>-12.095052554217</v>
      </c>
      <c r="T82" s="48" t="n">
        <f aca="false">M82-F82</f>
        <v>-14.4350612307553</v>
      </c>
      <c r="U82" s="48" t="n">
        <f aca="false">N82-G82</f>
        <v>-10.7394255408174</v>
      </c>
      <c r="V82" s="48" t="n">
        <f aca="false">O82-H82</f>
        <v>-6.05332590018884</v>
      </c>
    </row>
    <row r="83" customFormat="false" ht="15" hidden="false" customHeight="false" outlineLevel="0" collapsed="false">
      <c r="C83" s="6" t="n">
        <v>45</v>
      </c>
      <c r="D83" s="47" t="n">
        <v>669</v>
      </c>
      <c r="E83" s="47" t="n">
        <v>699</v>
      </c>
      <c r="F83" s="47" t="n">
        <v>730</v>
      </c>
      <c r="G83" s="47" t="n">
        <v>759</v>
      </c>
      <c r="H83" s="47" t="n">
        <v>782</v>
      </c>
      <c r="J83" s="39" t="n">
        <f aca="false">C83</f>
        <v>45</v>
      </c>
      <c r="K83" s="27" t="n">
        <f aca="false">$C$72+$C$68*((Model!$C$5*(($C83)+Model!$C$6*(D$77)))-(Model!$C$5*(($C$70)+Model!$C$6*($C$71)))-$C$69*(((((Model!$C$5*(($C83)+Model!$C$6*(D$77)))-($C$73))*NORMSDIST(((Model!$C$5*(($C83)+Model!$C$6*(D$77)))-($C$73))/Model!$C$7)+Model!$C$7*EXP(-((((Model!$C$5*(($C83)+Model!$C$6*(D$77)))-($C$73))/Model!$C$7)^2)/2)/SQRT(2*PI()))-(((Model!$C$5*(($C83)+Model!$C$6*(D$77)))-($C$74))*NORMSDIST(((Model!$C$5*(($C83)+Model!$C$6*(D$77)))-($C$74))/Model!$C$7)+Model!$C$7*EXP(-((((Model!$C$5*(($C83)+Model!$C$6*(D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673.972155475381</v>
      </c>
      <c r="L83" s="27" t="n">
        <f aca="false">$C$72+$C$68*((Model!$C$5*(($C83)+Model!$C$6*(E$77)))-(Model!$C$5*(($C$70)+Model!$C$6*($C$71)))-$C$69*(((((Model!$C$5*(($C83)+Model!$C$6*(E$77)))-($C$73))*NORMSDIST(((Model!$C$5*(($C83)+Model!$C$6*(E$77)))-($C$73))/Model!$C$7)+Model!$C$7*EXP(-((((Model!$C$5*(($C83)+Model!$C$6*(E$77)))-($C$73))/Model!$C$7)^2)/2)/SQRT(2*PI()))-(((Model!$C$5*(($C83)+Model!$C$6*(E$77)))-($C$74))*NORMSDIST(((Model!$C$5*(($C83)+Model!$C$6*(E$77)))-($C$74))/Model!$C$7)+Model!$C$7*EXP(-((((Model!$C$5*(($C83)+Model!$C$6*(E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701.731272788483</v>
      </c>
      <c r="M83" s="27" t="n">
        <f aca="false">$C$72+$C$68*((Model!$C$5*(($C83)+Model!$C$6*(F$77)))-(Model!$C$5*(($C$70)+Model!$C$6*($C$71)))-$C$69*(((((Model!$C$5*(($C83)+Model!$C$6*(F$77)))-($C$73))*NORMSDIST(((Model!$C$5*(($C83)+Model!$C$6*(F$77)))-($C$73))/Model!$C$7)+Model!$C$7*EXP(-((((Model!$C$5*(($C83)+Model!$C$6*(F$77)))-($C$73))/Model!$C$7)^2)/2)/SQRT(2*PI()))-(((Model!$C$5*(($C83)+Model!$C$6*(F$77)))-($C$74))*NORMSDIST(((Model!$C$5*(($C83)+Model!$C$6*(F$77)))-($C$74))/Model!$C$7)+Model!$C$7*EXP(-((((Model!$C$5*(($C83)+Model!$C$6*(F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728.268700240141</v>
      </c>
      <c r="N83" s="27" t="n">
        <f aca="false">$C$72+$C$68*((Model!$C$5*(($C83)+Model!$C$6*(G$77)))-(Model!$C$5*(($C$70)+Model!$C$6*($C$71)))-$C$69*(((((Model!$C$5*(($C83)+Model!$C$6*(G$77)))-($C$73))*NORMSDIST(((Model!$C$5*(($C83)+Model!$C$6*(G$77)))-($C$73))/Model!$C$7)+Model!$C$7*EXP(-((((Model!$C$5*(($C83)+Model!$C$6*(G$77)))-($C$73))/Model!$C$7)^2)/2)/SQRT(2*PI()))-(((Model!$C$5*(($C83)+Model!$C$6*(G$77)))-($C$74))*NORMSDIST(((Model!$C$5*(($C83)+Model!$C$6*(G$77)))-($C$74))/Model!$C$7)+Model!$C$7*EXP(-((((Model!$C$5*(($C83)+Model!$C$6*(G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753.25742046751</v>
      </c>
      <c r="O83" s="27" t="n">
        <f aca="false">$C$72+$C$68*((Model!$C$5*(($C83)+Model!$C$6*(H$77)))-(Model!$C$5*(($C$70)+Model!$C$6*($C$71)))-$C$69*(((((Model!$C$5*(($C83)+Model!$C$6*(H$77)))-($C$73))*NORMSDIST(((Model!$C$5*(($C83)+Model!$C$6*(H$77)))-($C$73))/Model!$C$7)+Model!$C$7*EXP(-((((Model!$C$5*(($C83)+Model!$C$6*(H$77)))-($C$73))/Model!$C$7)^2)/2)/SQRT(2*PI()))-(((Model!$C$5*(($C83)+Model!$C$6*(H$77)))-($C$74))*NORMSDIST(((Model!$C$5*(($C83)+Model!$C$6*(H$77)))-($C$74))/Model!$C$7)+Model!$C$7*EXP(-((((Model!$C$5*(($C83)+Model!$C$6*(H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776.419081946762</v>
      </c>
      <c r="Q83" s="39" t="n">
        <f aca="false">C83</f>
        <v>45</v>
      </c>
      <c r="R83" s="48" t="n">
        <f aca="false">K83-D83</f>
        <v>4.97215547538053</v>
      </c>
      <c r="S83" s="48" t="n">
        <f aca="false">L83-E83</f>
        <v>2.73127278848267</v>
      </c>
      <c r="T83" s="48" t="n">
        <f aca="false">M83-F83</f>
        <v>-1.73129975985887</v>
      </c>
      <c r="U83" s="48" t="n">
        <f aca="false">N83-G83</f>
        <v>-5.74257953249048</v>
      </c>
      <c r="V83" s="48" t="n">
        <f aca="false">O83-H83</f>
        <v>-5.58091805323807</v>
      </c>
    </row>
    <row r="84" customFormat="false" ht="15" hidden="false" customHeight="false" outlineLevel="0" collapsed="false">
      <c r="C84" s="6" t="n">
        <v>35</v>
      </c>
      <c r="D84" s="47" t="n">
        <v>608</v>
      </c>
      <c r="E84" s="47" t="n">
        <v>638</v>
      </c>
      <c r="F84" s="47" t="n">
        <v>669</v>
      </c>
      <c r="G84" s="47" t="n">
        <v>699</v>
      </c>
      <c r="H84" s="47" t="n">
        <v>730</v>
      </c>
      <c r="J84" s="39" t="n">
        <f aca="false">C84</f>
        <v>35</v>
      </c>
      <c r="K84" s="27" t="n">
        <f aca="false">$C$72+$C$68*((Model!$C$5*(($C84)+Model!$C$6*(D$77)))-(Model!$C$5*(($C$70)+Model!$C$6*($C$71)))-$C$69*(((((Model!$C$5*(($C84)+Model!$C$6*(D$77)))-($C$73))*NORMSDIST(((Model!$C$5*(($C84)+Model!$C$6*(D$77)))-($C$73))/Model!$C$7)+Model!$C$7*EXP(-((((Model!$C$5*(($C84)+Model!$C$6*(D$77)))-($C$73))/Model!$C$7)^2)/2)/SQRT(2*PI()))-(((Model!$C$5*(($C84)+Model!$C$6*(D$77)))-($C$74))*NORMSDIST(((Model!$C$5*(($C84)+Model!$C$6*(D$77)))-($C$74))/Model!$C$7)+Model!$C$7*EXP(-((((Model!$C$5*(($C84)+Model!$C$6*(D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623.717423039197</v>
      </c>
      <c r="L84" s="27" t="n">
        <f aca="false">$C$72+$C$68*((Model!$C$5*(($C84)+Model!$C$6*(E$77)))-(Model!$C$5*(($C$70)+Model!$C$6*($C$71)))-$C$69*(((((Model!$C$5*(($C84)+Model!$C$6*(E$77)))-($C$73))*NORMSDIST(((Model!$C$5*(($C84)+Model!$C$6*(E$77)))-($C$73))/Model!$C$7)+Model!$C$7*EXP(-((((Model!$C$5*(($C84)+Model!$C$6*(E$77)))-($C$73))/Model!$C$7)^2)/2)/SQRT(2*PI()))-(((Model!$C$5*(($C84)+Model!$C$6*(E$77)))-($C$74))*NORMSDIST(((Model!$C$5*(($C84)+Model!$C$6*(E$77)))-($C$74))/Model!$C$7)+Model!$C$7*EXP(-((((Model!$C$5*(($C84)+Model!$C$6*(E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652.85939468526</v>
      </c>
      <c r="M84" s="27" t="n">
        <f aca="false">$C$72+$C$68*((Model!$C$5*(($C84)+Model!$C$6*(F$77)))-(Model!$C$5*(($C$70)+Model!$C$6*($C$71)))-$C$69*(((((Model!$C$5*(($C84)+Model!$C$6*(F$77)))-($C$73))*NORMSDIST(((Model!$C$5*(($C84)+Model!$C$6*(F$77)))-($C$73))/Model!$C$7)+Model!$C$7*EXP(-((((Model!$C$5*(($C84)+Model!$C$6*(F$77)))-($C$73))/Model!$C$7)^2)/2)/SQRT(2*PI()))-(((Model!$C$5*(($C84)+Model!$C$6*(F$77)))-($C$74))*NORMSDIST(((Model!$C$5*(($C84)+Model!$C$6*(F$77)))-($C$74))/Model!$C$7)+Model!$C$7*EXP(-((((Model!$C$5*(($C84)+Model!$C$6*(F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681.312952998432</v>
      </c>
      <c r="N84" s="27" t="n">
        <f aca="false">$C$72+$C$68*((Model!$C$5*(($C84)+Model!$C$6*(G$77)))-(Model!$C$5*(($C$70)+Model!$C$6*($C$71)))-$C$69*(((((Model!$C$5*(($C84)+Model!$C$6*(G$77)))-($C$73))*NORMSDIST(((Model!$C$5*(($C84)+Model!$C$6*(G$77)))-($C$73))/Model!$C$7)+Model!$C$7*EXP(-((((Model!$C$5*(($C84)+Model!$C$6*(G$77)))-($C$73))/Model!$C$7)^2)/2)/SQRT(2*PI()))-(((Model!$C$5*(($C84)+Model!$C$6*(G$77)))-($C$74))*NORMSDIST(((Model!$C$5*(($C84)+Model!$C$6*(G$77)))-($C$74))/Model!$C$7)+Model!$C$7*EXP(-((((Model!$C$5*(($C84)+Model!$C$6*(G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708.785391575762</v>
      </c>
      <c r="O84" s="27" t="n">
        <f aca="false">$C$72+$C$68*((Model!$C$5*(($C84)+Model!$C$6*(H$77)))-(Model!$C$5*(($C$70)+Model!$C$6*($C$71)))-$C$69*(((((Model!$C$5*(($C84)+Model!$C$6*(H$77)))-($C$73))*NORMSDIST(((Model!$C$5*(($C84)+Model!$C$6*(H$77)))-($C$73))/Model!$C$7)+Model!$C$7*EXP(-((((Model!$C$5*(($C84)+Model!$C$6*(H$77)))-($C$73))/Model!$C$7)^2)/2)/SQRT(2*PI()))-(((Model!$C$5*(($C84)+Model!$C$6*(H$77)))-($C$74))*NORMSDIST(((Model!$C$5*(($C84)+Model!$C$6*(H$77)))-($C$74))/Model!$C$7)+Model!$C$7*EXP(-((((Model!$C$5*(($C84)+Model!$C$6*(H$77)))-($C$74))/Model!$C$7)^2)/2)/SQRT(2*PI())))-((((Model!$C$5*(($C$70)+Model!$C$6*($C$71)))-($C$73))*NORMSDIST(((Model!$C$5*(($C$70)+Model!$C$6*($C$71)))-($C$73))/Model!$C$7)+Model!$C$7*EXP(-((((Model!$C$5*(($C$70)+Model!$C$6*($C$71)))-($C$73))/Model!$C$7)^2)/2)/SQRT(2*PI()))-(((Model!$C$5*(($C$70)+Model!$C$6*($C$71)))-($C$74))*NORMSDIST(((Model!$C$5*(($C$70)+Model!$C$6*($C$71)))-($C$74))/Model!$C$7)+Model!$C$7*EXP(-((((Model!$C$5*(($C$70)+Model!$C$6*($C$71)))-($C$74))/Model!$C$7)^2)/2)/SQRT(2*PI())))))</f>
        <v>734.949432030302</v>
      </c>
      <c r="Q84" s="39" t="n">
        <f aca="false">C84</f>
        <v>35</v>
      </c>
      <c r="R84" s="48" t="n">
        <f aca="false">K84-D84</f>
        <v>15.7174230391972</v>
      </c>
      <c r="S84" s="48" t="n">
        <f aca="false">L84-E84</f>
        <v>14.8593946852602</v>
      </c>
      <c r="T84" s="48" t="n">
        <f aca="false">M84-F84</f>
        <v>12.3129529984319</v>
      </c>
      <c r="U84" s="48" t="n">
        <f aca="false">N84-G84</f>
        <v>9.78539157576211</v>
      </c>
      <c r="V84" s="48" t="n">
        <f aca="false">O84-H84</f>
        <v>4.94943203030198</v>
      </c>
    </row>
    <row r="85" customFormat="false" ht="15" hidden="false" customHeight="false" outlineLevel="0" collapsed="false">
      <c r="B85" s="49" t="s">
        <v>146</v>
      </c>
      <c r="C85" s="50" t="n">
        <f aca="false">($C$72+$C$68*(1-$C$69)*Model!$C$5*((C78-$C$70)+(D77-$C$71))-D78)^2+($C$72+$C$68*(1-$C$69)*Model!$C$5*((C78-$C$70)+(E77-$C$71))-E78)^2+($C$72+$C$68*(1-$C$69)*Model!$C$5*((C78-$C$70)+(F77-$C$71))-F78)^2+($C$72+$C$68*(1-$C$69)*Model!$C$5*((C78-$C$70)+(G77-$C$71))-G78)^2+($C$72+$C$68*(1-$C$69)*Model!$C$5*((C78-$C$70)+(H77-$C$71))-H78)^2+($C$72+$C$68*(1-$C$69)*Model!$C$5*((C79-$C$70)+(D77-$C$71))-D79)^2+($C$72+$C$68*(1-$C$69)*Model!$C$5*((C79-$C$70)+(E77-$C$71))-E79)^2+($C$72+$C$68*(1-$C$69)*Model!$C$5*((C79-$C$70)+(F77-$C$71))-F79)^2+($C$72+$C$68*(1-$C$69)*Model!$C$5*((C79-$C$70)+(G77-$C$71))-G79)^2+($C$72+$C$68*(1-$C$69)*Model!$C$5*((C79-$C$70)+(H77-$C$71))-H79)^2+($C$72+$C$68*(1-$C$69)*Model!$C$5*((C80-$C$70)+(D77-$C$71))-D80)^2+($C$72+$C$68*(1-$C$69)*Model!$C$5*((C80-$C$70)+(E77-$C$71))-E80)^2+($C$72+$C$68*(1-$C$69)*Model!$C$5*((C80-$C$70)+(F77-$C$71))-F80)^2+($C$72+$C$68*(1-$C$69)*Model!$C$5*((C80-$C$70)+(G77-$C$71))-G80)^2+($C$72+$C$68*(1-$C$69)*Model!$C$5*((C80-$C$70)+(H77-$C$71))-H80)^2+($C$72+$C$68*(1-$C$69)*Model!$C$5*((C81-$C$70)+(D77-$C$71))-D81)^2+($C$72+$C$68*(1-$C$69)*Model!$C$5*((C81-$C$70)+(E77-$C$71))-E81)^2+($C$72+$C$68*(1-$C$69)*Model!$C$5*((C81-$C$70)+(F77-$C$71))-F81)^2+($C$72+$C$68*(1-$C$69)*Model!$C$5*((C81-$C$70)+(G77-$C$71))-G81)^2+($C$72+$C$68*(1-$C$69)*Model!$C$5*((C81-$C$70)+(H77-$C$71))-H81)^2+($C$72+$C$68*(1-$C$69)*Model!$C$5*((C82-$C$70)+(D77-$C$71))-D82)^2+($C$72+$C$68*(1-$C$69)*Model!$C$5*((C82-$C$70)+(E77-$C$71))-E82)^2+($C$72+$C$68*(1-$C$69)*Model!$C$5*((C82-$C$70)+(F77-$C$71))-F82)^2+($C$72+$C$68*(1-$C$69)*Model!$C$5*((C82-$C$70)+(G77-$C$71))-G82)^2+($C$72+$C$68*(1-$C$69)*Model!$C$5*((C82-$C$70)+(H77-$C$71))-H82)^2+($C$72+$C$68*(1-$C$69)*Model!$C$5*((C83-$C$70)+(D77-$C$71))-D83)^2+($C$72+$C$68*(1-$C$69)*Model!$C$5*((C83-$C$70)+(E77-$C$71))-E83)^2+($C$72+$C$68*(1-$C$69)*Model!$C$5*((C83-$C$70)+(F77-$C$71))-F83)^2+($C$72+$C$68*(1-$C$69)*Model!$C$5*((C83-$C$70)+(G77-$C$71))-G83)^2+($C$72+$C$68*(1-$C$69)*Model!$C$5*((C83-$C$70)+(H77-$C$71))-H83)^2+($C$72+$C$68*(1-$C$69)*Model!$C$5*((C84-$C$70)+(D77-$C$71))-D84)^2+($C$72+$C$68*(1-$C$69)*Model!$C$5*((C84-$C$70)+(E77-$C$71))-E84)^2+($C$72+$C$68*(1-$C$69)*Model!$C$5*((C84-$C$70)+(F77-$C$71))-F84)^2+($C$72+$C$68*(1-$C$69)*Model!$C$5*((C84-$C$70)+(G77-$C$71))-G84)^2+($C$72+$C$68*(1-$C$69)*Model!$C$5*((C84-$C$70)+(H77-$C$71))-H84)^2</f>
        <v>148079.652213333</v>
      </c>
    </row>
    <row r="88" customFormat="false" ht="15" hidden="false" customHeight="false" outlineLevel="0" collapsed="false">
      <c r="B88" s="42" t="s">
        <v>127</v>
      </c>
      <c r="C88" s="43" t="s">
        <v>149</v>
      </c>
    </row>
    <row r="89" customFormat="false" ht="15" hidden="false" customHeight="false" outlineLevel="0" collapsed="false">
      <c r="B89" s="4" t="s">
        <v>114</v>
      </c>
      <c r="C89" s="33" t="s">
        <v>123</v>
      </c>
    </row>
    <row r="90" customFormat="false" ht="15" hidden="false" customHeight="false" outlineLevel="0" collapsed="false">
      <c r="B90" s="4" t="s">
        <v>135</v>
      </c>
      <c r="C90" s="6" t="n">
        <v>5</v>
      </c>
    </row>
    <row r="91" customFormat="false" ht="15" hidden="false" customHeight="false" outlineLevel="0" collapsed="false">
      <c r="B91" s="4" t="s">
        <v>136</v>
      </c>
      <c r="C91" s="11" t="n">
        <f aca="false">C90/12</f>
        <v>0.416666666666667</v>
      </c>
    </row>
    <row r="92" customFormat="false" ht="15" hidden="false" customHeight="false" outlineLevel="0" collapsed="false">
      <c r="B92" s="4" t="s">
        <v>52</v>
      </c>
      <c r="C92" s="15" t="n">
        <v>0.81</v>
      </c>
    </row>
    <row r="93" customFormat="false" ht="15" hidden="false" customHeight="false" outlineLevel="0" collapsed="false">
      <c r="B93" s="4" t="s">
        <v>137</v>
      </c>
      <c r="C93" s="7" t="n">
        <v>67</v>
      </c>
    </row>
    <row r="94" customFormat="false" ht="15" hidden="false" customHeight="false" outlineLevel="0" collapsed="false">
      <c r="B94" s="4" t="s">
        <v>138</v>
      </c>
      <c r="C94" s="7" t="n">
        <v>22.5</v>
      </c>
    </row>
    <row r="95" customFormat="false" ht="15" hidden="false" customHeight="false" outlineLevel="0" collapsed="false">
      <c r="B95" s="4" t="s">
        <v>139</v>
      </c>
      <c r="C95" s="18" t="n">
        <f aca="false">INDEX(D101:H107,MATCH(C93,C101:C107,0),MATCH(C94,D100:H100,0))</f>
        <v>816</v>
      </c>
    </row>
    <row r="96" customFormat="false" ht="15" hidden="false" customHeight="false" outlineLevel="0" collapsed="false">
      <c r="B96" s="4" t="s">
        <v>140</v>
      </c>
      <c r="C96" s="18" t="n">
        <f aca="false">INDEX($C$6:$C$8,MATCH(C89,$B$6:$B$8,0))</f>
        <v>690</v>
      </c>
    </row>
    <row r="97" customFormat="false" ht="15" hidden="false" customHeight="false" outlineLevel="0" collapsed="false">
      <c r="B97" s="4" t="s">
        <v>141</v>
      </c>
      <c r="C97" s="18" t="n">
        <f aca="false">INDEX($D$6:$D$8,MATCH(C89,$B$6:$B$8,0))</f>
        <v>1005</v>
      </c>
    </row>
    <row r="99" customFormat="false" ht="15" hidden="false" customHeight="false" outlineLevel="0" collapsed="false">
      <c r="C99" s="3" t="s">
        <v>142</v>
      </c>
      <c r="J99" s="3" t="s">
        <v>143</v>
      </c>
      <c r="Q99" s="3" t="s">
        <v>144</v>
      </c>
    </row>
    <row r="100" customFormat="false" ht="15" hidden="false" customHeight="false" outlineLevel="0" collapsed="false">
      <c r="C100" s="44" t="s">
        <v>145</v>
      </c>
      <c r="D100" s="45" t="n">
        <v>12.5</v>
      </c>
      <c r="E100" s="45" t="n">
        <v>17.5</v>
      </c>
      <c r="F100" s="45" t="n">
        <v>22.5</v>
      </c>
      <c r="G100" s="45" t="n">
        <v>27.5</v>
      </c>
      <c r="H100" s="45" t="n">
        <v>32.5</v>
      </c>
      <c r="J100" s="44" t="s">
        <v>145</v>
      </c>
      <c r="K100" s="46" t="n">
        <f aca="false">D100</f>
        <v>12.5</v>
      </c>
      <c r="L100" s="46" t="n">
        <f aca="false">E100</f>
        <v>17.5</v>
      </c>
      <c r="M100" s="46" t="n">
        <f aca="false">F100</f>
        <v>22.5</v>
      </c>
      <c r="N100" s="46" t="n">
        <f aca="false">G100</f>
        <v>27.5</v>
      </c>
      <c r="O100" s="46" t="n">
        <f aca="false">H100</f>
        <v>32.5</v>
      </c>
      <c r="Q100" s="44" t="s">
        <v>145</v>
      </c>
      <c r="R100" s="46" t="n">
        <f aca="false">D100</f>
        <v>12.5</v>
      </c>
      <c r="S100" s="46" t="n">
        <f aca="false">E100</f>
        <v>17.5</v>
      </c>
      <c r="T100" s="46" t="n">
        <f aca="false">F100</f>
        <v>22.5</v>
      </c>
      <c r="U100" s="46" t="n">
        <f aca="false">G100</f>
        <v>27.5</v>
      </c>
      <c r="V100" s="46" t="n">
        <f aca="false">H100</f>
        <v>32.5</v>
      </c>
    </row>
    <row r="101" customFormat="false" ht="15" hidden="false" customHeight="false" outlineLevel="0" collapsed="false">
      <c r="C101" s="6" t="n">
        <v>97</v>
      </c>
      <c r="D101" s="47" t="n">
        <v>843</v>
      </c>
      <c r="E101" s="47" t="n">
        <v>850</v>
      </c>
      <c r="F101" s="47" t="n">
        <v>858</v>
      </c>
      <c r="G101" s="47" t="n">
        <v>865</v>
      </c>
      <c r="H101" s="47" t="n">
        <v>872</v>
      </c>
      <c r="J101" s="39" t="n">
        <f aca="false">C101</f>
        <v>97</v>
      </c>
      <c r="K101" s="27" t="n">
        <f aca="false">$C$95+$C$91*((Model!$C$5*(($C101)+Model!$C$6*(D$100)))-(Model!$C$5*(($C$93)+Model!$C$6*($C$94)))-$C$92*(((((Model!$C$5*(($C101)+Model!$C$6*(D$100)))-($C$96))*NORMSDIST(((Model!$C$5*(($C101)+Model!$C$6*(D$100)))-($C$96))/Model!$C$7)+Model!$C$7*EXP(-((((Model!$C$5*(($C101)+Model!$C$6*(D$100)))-($C$96))/Model!$C$7)^2)/2)/SQRT(2*PI()))-(((Model!$C$5*(($C101)+Model!$C$6*(D$100)))-($C$97))*NORMSDIST(((Model!$C$5*(($C101)+Model!$C$6*(D$100)))-($C$97))/Model!$C$7)+Model!$C$7*EXP(-((((Model!$C$5*(($C101)+Model!$C$6*(D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847.673355385343</v>
      </c>
      <c r="L101" s="27" t="n">
        <f aca="false">$C$95+$C$91*((Model!$C$5*(($C101)+Model!$C$6*(E$100)))-(Model!$C$5*(($C$93)+Model!$C$6*($C$94)))-$C$92*(((((Model!$C$5*(($C101)+Model!$C$6*(E$100)))-($C$96))*NORMSDIST(((Model!$C$5*(($C101)+Model!$C$6*(E$100)))-($C$96))/Model!$C$7)+Model!$C$7*EXP(-((((Model!$C$5*(($C101)+Model!$C$6*(E$100)))-($C$96))/Model!$C$7)^2)/2)/SQRT(2*PI()))-(((Model!$C$5*(($C101)+Model!$C$6*(E$100)))-($C$97))*NORMSDIST(((Model!$C$5*(($C101)+Model!$C$6*(E$100)))-($C$97))/Model!$C$7)+Model!$C$7*EXP(-((((Model!$C$5*(($C101)+Model!$C$6*(E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857.457351757376</v>
      </c>
      <c r="M101" s="27" t="n">
        <f aca="false">$C$95+$C$91*((Model!$C$5*(($C101)+Model!$C$6*(F$100)))-(Model!$C$5*(($C$93)+Model!$C$6*($C$94)))-$C$92*(((((Model!$C$5*(($C101)+Model!$C$6*(F$100)))-($C$96))*NORMSDIST(((Model!$C$5*(($C101)+Model!$C$6*(F$100)))-($C$96))/Model!$C$7)+Model!$C$7*EXP(-((((Model!$C$5*(($C101)+Model!$C$6*(F$100)))-($C$96))/Model!$C$7)^2)/2)/SQRT(2*PI()))-(((Model!$C$5*(($C101)+Model!$C$6*(F$100)))-($C$97))*NORMSDIST(((Model!$C$5*(($C101)+Model!$C$6*(F$100)))-($C$97))/Model!$C$7)+Model!$C$7*EXP(-((((Model!$C$5*(($C101)+Model!$C$6*(F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867.944302685991</v>
      </c>
      <c r="N101" s="27" t="n">
        <f aca="false">$C$95+$C$91*((Model!$C$5*(($C101)+Model!$C$6*(G$100)))-(Model!$C$5*(($C$93)+Model!$C$6*($C$94)))-$C$92*(((((Model!$C$5*(($C101)+Model!$C$6*(G$100)))-($C$96))*NORMSDIST(((Model!$C$5*(($C101)+Model!$C$6*(G$100)))-($C$96))/Model!$C$7)+Model!$C$7*EXP(-((((Model!$C$5*(($C101)+Model!$C$6*(G$100)))-($C$96))/Model!$C$7)^2)/2)/SQRT(2*PI()))-(((Model!$C$5*(($C101)+Model!$C$6*(G$100)))-($C$97))*NORMSDIST(((Model!$C$5*(($C101)+Model!$C$6*(G$100)))-($C$97))/Model!$C$7)+Model!$C$7*EXP(-((((Model!$C$5*(($C101)+Model!$C$6*(G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879.448056463205</v>
      </c>
      <c r="O101" s="27" t="n">
        <f aca="false">$C$95+$C$91*((Model!$C$5*(($C101)+Model!$C$6*(H$100)))-(Model!$C$5*(($C$93)+Model!$C$6*($C$94)))-$C$92*(((((Model!$C$5*(($C101)+Model!$C$6*(H$100)))-($C$96))*NORMSDIST(((Model!$C$5*(($C101)+Model!$C$6*(H$100)))-($C$96))/Model!$C$7)+Model!$C$7*EXP(-((((Model!$C$5*(($C101)+Model!$C$6*(H$100)))-($C$96))/Model!$C$7)^2)/2)/SQRT(2*PI()))-(((Model!$C$5*(($C101)+Model!$C$6*(H$100)))-($C$97))*NORMSDIST(((Model!$C$5*(($C101)+Model!$C$6*(H$100)))-($C$97))/Model!$C$7)+Model!$C$7*EXP(-((((Model!$C$5*(($C101)+Model!$C$6*(H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892.156872131225</v>
      </c>
      <c r="Q101" s="39" t="n">
        <f aca="false">C101</f>
        <v>97</v>
      </c>
      <c r="R101" s="48" t="n">
        <f aca="false">K101-D101</f>
        <v>4.6733553853428</v>
      </c>
      <c r="S101" s="48" t="n">
        <f aca="false">L101-E101</f>
        <v>7.45735175737627</v>
      </c>
      <c r="T101" s="48" t="n">
        <f aca="false">M101-F101</f>
        <v>9.94430268599058</v>
      </c>
      <c r="U101" s="48" t="n">
        <f aca="false">N101-G101</f>
        <v>14.4480564632048</v>
      </c>
      <c r="V101" s="48" t="n">
        <f aca="false">O101-H101</f>
        <v>20.1568721312248</v>
      </c>
    </row>
    <row r="102" customFormat="false" ht="15" hidden="false" customHeight="false" outlineLevel="0" collapsed="false">
      <c r="C102" s="6" t="n">
        <v>87</v>
      </c>
      <c r="D102" s="47" t="n">
        <v>834</v>
      </c>
      <c r="E102" s="47" t="n">
        <v>844</v>
      </c>
      <c r="F102" s="47" t="n">
        <v>851</v>
      </c>
      <c r="G102" s="47" t="n">
        <v>858</v>
      </c>
      <c r="H102" s="47" t="n">
        <v>866</v>
      </c>
      <c r="J102" s="39" t="n">
        <f aca="false">C102</f>
        <v>87</v>
      </c>
      <c r="K102" s="27" t="n">
        <f aca="false">$C$95+$C$91*((Model!$C$5*(($C102)+Model!$C$6*(D$100)))-(Model!$C$5*(($C$93)+Model!$C$6*($C$94)))-$C$92*(((((Model!$C$5*(($C102)+Model!$C$6*(D$100)))-($C$96))*NORMSDIST(((Model!$C$5*(($C102)+Model!$C$6*(D$100)))-($C$96))/Model!$C$7)+Model!$C$7*EXP(-((((Model!$C$5*(($C102)+Model!$C$6*(D$100)))-($C$96))/Model!$C$7)^2)/2)/SQRT(2*PI()))-(((Model!$C$5*(($C102)+Model!$C$6*(D$100)))-($C$97))*NORMSDIST(((Model!$C$5*(($C102)+Model!$C$6*(D$100)))-($C$97))/Model!$C$7)+Model!$C$7*EXP(-((((Model!$C$5*(($C102)+Model!$C$6*(D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831.101359638152</v>
      </c>
      <c r="L102" s="27" t="n">
        <f aca="false">$C$95+$C$91*((Model!$C$5*(($C102)+Model!$C$6*(E$100)))-(Model!$C$5*(($C$93)+Model!$C$6*($C$94)))-$C$92*(((((Model!$C$5*(($C102)+Model!$C$6*(E$100)))-($C$96))*NORMSDIST(((Model!$C$5*(($C102)+Model!$C$6*(E$100)))-($C$96))/Model!$C$7)+Model!$C$7*EXP(-((((Model!$C$5*(($C102)+Model!$C$6*(E$100)))-($C$96))/Model!$C$7)^2)/2)/SQRT(2*PI()))-(((Model!$C$5*(($C102)+Model!$C$6*(E$100)))-($C$97))*NORMSDIST(((Model!$C$5*(($C102)+Model!$C$6*(E$100)))-($C$97))/Model!$C$7)+Model!$C$7*EXP(-((((Model!$C$5*(($C102)+Model!$C$6*(E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840.657085616322</v>
      </c>
      <c r="M102" s="27" t="n">
        <f aca="false">$C$95+$C$91*((Model!$C$5*(($C102)+Model!$C$6*(F$100)))-(Model!$C$5*(($C$93)+Model!$C$6*($C$94)))-$C$92*(((((Model!$C$5*(($C102)+Model!$C$6*(F$100)))-($C$96))*NORMSDIST(((Model!$C$5*(($C102)+Model!$C$6*(F$100)))-($C$96))/Model!$C$7)+Model!$C$7*EXP(-((((Model!$C$5*(($C102)+Model!$C$6*(F$100)))-($C$96))/Model!$C$7)^2)/2)/SQRT(2*PI()))-(((Model!$C$5*(($C102)+Model!$C$6*(F$100)))-($C$97))*NORMSDIST(((Model!$C$5*(($C102)+Model!$C$6*(F$100)))-($C$97))/Model!$C$7)+Model!$C$7*EXP(-((((Model!$C$5*(($C102)+Model!$C$6*(F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850.179470174377</v>
      </c>
      <c r="N102" s="27" t="n">
        <f aca="false">$C$95+$C$91*((Model!$C$5*(($C102)+Model!$C$6*(G$100)))-(Model!$C$5*(($C$93)+Model!$C$6*($C$94)))-$C$92*(((((Model!$C$5*(($C102)+Model!$C$6*(G$100)))-($C$96))*NORMSDIST(((Model!$C$5*(($C102)+Model!$C$6*(G$100)))-($C$96))/Model!$C$7)+Model!$C$7*EXP(-((((Model!$C$5*(($C102)+Model!$C$6*(G$100)))-($C$96))/Model!$C$7)^2)/2)/SQRT(2*PI()))-(((Model!$C$5*(($C102)+Model!$C$6*(G$100)))-($C$97))*NORMSDIST(((Model!$C$5*(($C102)+Model!$C$6*(G$100)))-($C$97))/Model!$C$7)+Model!$C$7*EXP(-((((Model!$C$5*(($C102)+Model!$C$6*(G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860.110611258198</v>
      </c>
      <c r="O102" s="27" t="n">
        <f aca="false">$C$95+$C$91*((Model!$C$5*(($C102)+Model!$C$6*(H$100)))-(Model!$C$5*(($C$93)+Model!$C$6*($C$94)))-$C$92*(((((Model!$C$5*(($C102)+Model!$C$6*(H$100)))-($C$96))*NORMSDIST(((Model!$C$5*(($C102)+Model!$C$6*(H$100)))-($C$96))/Model!$C$7)+Model!$C$7*EXP(-((((Model!$C$5*(($C102)+Model!$C$6*(H$100)))-($C$96))/Model!$C$7)^2)/2)/SQRT(2*PI()))-(((Model!$C$5*(($C102)+Model!$C$6*(H$100)))-($C$97))*NORMSDIST(((Model!$C$5*(($C102)+Model!$C$6*(H$100)))-($C$97))/Model!$C$7)+Model!$C$7*EXP(-((((Model!$C$5*(($C102)+Model!$C$6*(H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870.83725446052</v>
      </c>
      <c r="Q102" s="39" t="n">
        <f aca="false">C102</f>
        <v>87</v>
      </c>
      <c r="R102" s="48" t="n">
        <f aca="false">K102-D102</f>
        <v>-2.89864036184838</v>
      </c>
      <c r="S102" s="48" t="n">
        <f aca="false">L102-E102</f>
        <v>-3.34291438367825</v>
      </c>
      <c r="T102" s="48" t="n">
        <f aca="false">M102-F102</f>
        <v>-0.820529825622771</v>
      </c>
      <c r="U102" s="48" t="n">
        <f aca="false">N102-G102</f>
        <v>2.11061125819776</v>
      </c>
      <c r="V102" s="48" t="n">
        <f aca="false">O102-H102</f>
        <v>4.8372544605204</v>
      </c>
    </row>
    <row r="103" customFormat="false" ht="15" hidden="false" customHeight="false" outlineLevel="0" collapsed="false">
      <c r="C103" s="6" t="n">
        <v>77</v>
      </c>
      <c r="D103" s="47" t="n">
        <v>815</v>
      </c>
      <c r="E103" s="47" t="n">
        <v>829</v>
      </c>
      <c r="F103" s="47" t="n">
        <v>841</v>
      </c>
      <c r="G103" s="47" t="n">
        <v>850</v>
      </c>
      <c r="H103" s="47" t="n">
        <v>857</v>
      </c>
      <c r="J103" s="39" t="n">
        <f aca="false">C103</f>
        <v>77</v>
      </c>
      <c r="K103" s="27" t="n">
        <f aca="false">$C$95+$C$91*((Model!$C$5*(($C103)+Model!$C$6*(D$100)))-(Model!$C$5*(($C$93)+Model!$C$6*($C$94)))-$C$92*(((((Model!$C$5*(($C103)+Model!$C$6*(D$100)))-($C$96))*NORMSDIST(((Model!$C$5*(($C103)+Model!$C$6*(D$100)))-($C$96))/Model!$C$7)+Model!$C$7*EXP(-((((Model!$C$5*(($C103)+Model!$C$6*(D$100)))-($C$96))/Model!$C$7)^2)/2)/SQRT(2*PI()))-(((Model!$C$5*(($C103)+Model!$C$6*(D$100)))-($C$97))*NORMSDIST(((Model!$C$5*(($C103)+Model!$C$6*(D$100)))-($C$97))/Model!$C$7)+Model!$C$7*EXP(-((((Model!$C$5*(($C103)+Model!$C$6*(D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813.137814298986</v>
      </c>
      <c r="L103" s="27" t="n">
        <f aca="false">$C$95+$C$91*((Model!$C$5*(($C103)+Model!$C$6*(E$100)))-(Model!$C$5*(($C$93)+Model!$C$6*($C$94)))-$C$92*(((((Model!$C$5*(($C103)+Model!$C$6*(E$100)))-($C$96))*NORMSDIST(((Model!$C$5*(($C103)+Model!$C$6*(E$100)))-($C$96))/Model!$C$7)+Model!$C$7*EXP(-((((Model!$C$5*(($C103)+Model!$C$6*(E$100)))-($C$96))/Model!$C$7)^2)/2)/SQRT(2*PI()))-(((Model!$C$5*(($C103)+Model!$C$6*(E$100)))-($C$97))*NORMSDIST(((Model!$C$5*(($C103)+Model!$C$6*(E$100)))-($C$97))/Model!$C$7)+Model!$C$7*EXP(-((((Model!$C$5*(($C103)+Model!$C$6*(E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823.7583237163</v>
      </c>
      <c r="M103" s="27" t="n">
        <f aca="false">$C$95+$C$91*((Model!$C$5*(($C103)+Model!$C$6*(F$100)))-(Model!$C$5*(($C$93)+Model!$C$6*($C$94)))-$C$92*(((((Model!$C$5*(($C103)+Model!$C$6*(F$100)))-($C$96))*NORMSDIST(((Model!$C$5*(($C103)+Model!$C$6*(F$100)))-($C$96))/Model!$C$7)+Model!$C$7*EXP(-((((Model!$C$5*(($C103)+Model!$C$6*(F$100)))-($C$96))/Model!$C$7)^2)/2)/SQRT(2*PI()))-(((Model!$C$5*(($C103)+Model!$C$6*(F$100)))-($C$97))*NORMSDIST(((Model!$C$5*(($C103)+Model!$C$6*(F$100)))-($C$97))/Model!$C$7)+Model!$C$7*EXP(-((((Model!$C$5*(($C103)+Model!$C$6*(F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833.622504171175</v>
      </c>
      <c r="N103" s="27" t="n">
        <f aca="false">$C$95+$C$91*((Model!$C$5*(($C103)+Model!$C$6*(G$100)))-(Model!$C$5*(($C$93)+Model!$C$6*($C$94)))-$C$92*(((((Model!$C$5*(($C103)+Model!$C$6*(G$100)))-($C$96))*NORMSDIST(((Model!$C$5*(($C103)+Model!$C$6*(G$100)))-($C$96))/Model!$C$7)+Model!$C$7*EXP(-((((Model!$C$5*(($C103)+Model!$C$6*(G$100)))-($C$96))/Model!$C$7)^2)/2)/SQRT(2*PI()))-(((Model!$C$5*(($C103)+Model!$C$6*(G$100)))-($C$97))*NORMSDIST(((Model!$C$5*(($C103)+Model!$C$6*(G$100)))-($C$97))/Model!$C$7)+Model!$C$7*EXP(-((((Model!$C$5*(($C103)+Model!$C$6*(G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843.126070581565</v>
      </c>
      <c r="O103" s="27" t="n">
        <f aca="false">$C$95+$C$91*((Model!$C$5*(($C103)+Model!$C$6*(H$100)))-(Model!$C$5*(($C$93)+Model!$C$6*($C$94)))-$C$92*(((((Model!$C$5*(($C103)+Model!$C$6*(H$100)))-($C$96))*NORMSDIST(((Model!$C$5*(($C103)+Model!$C$6*(H$100)))-($C$96))/Model!$C$7)+Model!$C$7*EXP(-((((Model!$C$5*(($C103)+Model!$C$6*(H$100)))-($C$96))/Model!$C$7)^2)/2)/SQRT(2*PI()))-(((Model!$C$5*(($C103)+Model!$C$6*(H$100)))-($C$97))*NORMSDIST(((Model!$C$5*(($C103)+Model!$C$6*(H$100)))-($C$97))/Model!$C$7)+Model!$C$7*EXP(-((((Model!$C$5*(($C103)+Model!$C$6*(H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852.713703167878</v>
      </c>
      <c r="Q103" s="39" t="n">
        <f aca="false">C103</f>
        <v>77</v>
      </c>
      <c r="R103" s="48" t="n">
        <f aca="false">K103-D103</f>
        <v>-1.86218570101391</v>
      </c>
      <c r="S103" s="48" t="n">
        <f aca="false">L103-E103</f>
        <v>-5.2416762836998</v>
      </c>
      <c r="T103" s="48" t="n">
        <f aca="false">M103-F103</f>
        <v>-7.37749582882498</v>
      </c>
      <c r="U103" s="48" t="n">
        <f aca="false">N103-G103</f>
        <v>-6.87392941843484</v>
      </c>
      <c r="V103" s="48" t="n">
        <f aca="false">O103-H103</f>
        <v>-4.28629683212171</v>
      </c>
    </row>
    <row r="104" customFormat="false" ht="15" hidden="false" customHeight="false" outlineLevel="0" collapsed="false">
      <c r="C104" s="6" t="n">
        <v>67</v>
      </c>
      <c r="D104" s="47" t="n">
        <v>794</v>
      </c>
      <c r="E104" s="47" t="n">
        <v>803</v>
      </c>
      <c r="F104" s="47" t="n">
        <v>816</v>
      </c>
      <c r="G104" s="47" t="n">
        <v>830</v>
      </c>
      <c r="H104" s="47" t="n">
        <v>841</v>
      </c>
      <c r="J104" s="39" t="n">
        <f aca="false">C104</f>
        <v>67</v>
      </c>
      <c r="K104" s="27" t="n">
        <f aca="false">$C$95+$C$91*((Model!$C$5*(($C104)+Model!$C$6*(D$100)))-(Model!$C$5*(($C$93)+Model!$C$6*($C$94)))-$C$92*(((((Model!$C$5*(($C104)+Model!$C$6*(D$100)))-($C$96))*NORMSDIST(((Model!$C$5*(($C104)+Model!$C$6*(D$100)))-($C$96))/Model!$C$7)+Model!$C$7*EXP(-((((Model!$C$5*(($C104)+Model!$C$6*(D$100)))-($C$96))/Model!$C$7)^2)/2)/SQRT(2*PI()))-(((Model!$C$5*(($C104)+Model!$C$6*(D$100)))-($C$97))*NORMSDIST(((Model!$C$5*(($C104)+Model!$C$6*(D$100)))-($C$97))/Model!$C$7)+Model!$C$7*EXP(-((((Model!$C$5*(($C104)+Model!$C$6*(D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792.055077075936</v>
      </c>
      <c r="L104" s="27" t="n">
        <f aca="false">$C$95+$C$91*((Model!$C$5*(($C104)+Model!$C$6*(E$100)))-(Model!$C$5*(($C$93)+Model!$C$6*($C$94)))-$C$92*(((((Model!$C$5*(($C104)+Model!$C$6*(E$100)))-($C$96))*NORMSDIST(((Model!$C$5*(($C104)+Model!$C$6*(E$100)))-($C$96))/Model!$C$7)+Model!$C$7*EXP(-((((Model!$C$5*(($C104)+Model!$C$6*(E$100)))-($C$96))/Model!$C$7)^2)/2)/SQRT(2*PI()))-(((Model!$C$5*(($C104)+Model!$C$6*(E$100)))-($C$97))*NORMSDIST(((Model!$C$5*(($C104)+Model!$C$6*(E$100)))-($C$97))/Model!$C$7)+Model!$C$7*EXP(-((((Model!$C$5*(($C104)+Model!$C$6*(E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804.622835496388</v>
      </c>
      <c r="M104" s="27" t="n">
        <f aca="false">$C$95+$C$91*((Model!$C$5*(($C104)+Model!$C$6*(F$100)))-(Model!$C$5*(($C$93)+Model!$C$6*($C$94)))-$C$92*(((((Model!$C$5*(($C104)+Model!$C$6*(F$100)))-($C$96))*NORMSDIST(((Model!$C$5*(($C104)+Model!$C$6*(F$100)))-($C$96))/Model!$C$7)+Model!$C$7*EXP(-((((Model!$C$5*(($C104)+Model!$C$6*(F$100)))-($C$96))/Model!$C$7)^2)/2)/SQRT(2*PI()))-(((Model!$C$5*(($C104)+Model!$C$6*(F$100)))-($C$97))*NORMSDIST(((Model!$C$5*(($C104)+Model!$C$6*(F$100)))-($C$97))/Model!$C$7)+Model!$C$7*EXP(-((((Model!$C$5*(($C104)+Model!$C$6*(F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816</v>
      </c>
      <c r="N104" s="27" t="n">
        <f aca="false">$C$95+$C$91*((Model!$C$5*(($C104)+Model!$C$6*(G$100)))-(Model!$C$5*(($C$93)+Model!$C$6*($C$94)))-$C$92*(((((Model!$C$5*(($C104)+Model!$C$6*(G$100)))-($C$96))*NORMSDIST(((Model!$C$5*(($C104)+Model!$C$6*(G$100)))-($C$96))/Model!$C$7)+Model!$C$7*EXP(-((((Model!$C$5*(($C104)+Model!$C$6*(G$100)))-($C$96))/Model!$C$7)^2)/2)/SQRT(2*PI()))-(((Model!$C$5*(($C104)+Model!$C$6*(G$100)))-($C$97))*NORMSDIST(((Model!$C$5*(($C104)+Model!$C$6*(G$100)))-($C$97))/Model!$C$7)+Model!$C$7*EXP(-((((Model!$C$5*(($C104)+Model!$C$6*(G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826.389876889608</v>
      </c>
      <c r="O104" s="27" t="n">
        <f aca="false">$C$95+$C$91*((Model!$C$5*(($C104)+Model!$C$6*(H$100)))-(Model!$C$5*(($C$93)+Model!$C$6*($C$94)))-$C$92*(((((Model!$C$5*(($C104)+Model!$C$6*(H$100)))-($C$96))*NORMSDIST(((Model!$C$5*(($C104)+Model!$C$6*(H$100)))-($C$96))/Model!$C$7)+Model!$C$7*EXP(-((((Model!$C$5*(($C104)+Model!$C$6*(H$100)))-($C$96))/Model!$C$7)^2)/2)/SQRT(2*PI()))-(((Model!$C$5*(($C104)+Model!$C$6*(H$100)))-($C$97))*NORMSDIST(((Model!$C$5*(($C104)+Model!$C$6*(H$100)))-($C$97))/Model!$C$7)+Model!$C$7*EXP(-((((Model!$C$5*(($C104)+Model!$C$6*(H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836.118841465603</v>
      </c>
      <c r="Q104" s="39" t="n">
        <f aca="false">C104</f>
        <v>67</v>
      </c>
      <c r="R104" s="48" t="n">
        <f aca="false">K104-D104</f>
        <v>-1.94492292406369</v>
      </c>
      <c r="S104" s="48" t="n">
        <f aca="false">L104-E104</f>
        <v>1.62283549638835</v>
      </c>
      <c r="T104" s="48" t="n">
        <f aca="false">M104-F104</f>
        <v>0</v>
      </c>
      <c r="U104" s="48" t="n">
        <f aca="false">N104-G104</f>
        <v>-3.61012311039178</v>
      </c>
      <c r="V104" s="48" t="n">
        <f aca="false">O104-H104</f>
        <v>-4.8811585343974</v>
      </c>
    </row>
    <row r="105" customFormat="false" ht="15" hidden="false" customHeight="false" outlineLevel="0" collapsed="false">
      <c r="C105" s="6" t="n">
        <v>57</v>
      </c>
      <c r="D105" s="47" t="n">
        <v>781</v>
      </c>
      <c r="E105" s="47" t="n">
        <v>792</v>
      </c>
      <c r="F105" s="47" t="n">
        <v>800</v>
      </c>
      <c r="G105" s="47" t="n">
        <v>810</v>
      </c>
      <c r="H105" s="47" t="n">
        <v>824</v>
      </c>
      <c r="J105" s="39" t="n">
        <f aca="false">C105</f>
        <v>57</v>
      </c>
      <c r="K105" s="27" t="n">
        <f aca="false">$C$95+$C$91*((Model!$C$5*(($C105)+Model!$C$6*(D$100)))-(Model!$C$5*(($C$93)+Model!$C$6*($C$94)))-$C$92*(((((Model!$C$5*(($C105)+Model!$C$6*(D$100)))-($C$96))*NORMSDIST(((Model!$C$5*(($C105)+Model!$C$6*(D$100)))-($C$96))/Model!$C$7)+Model!$C$7*EXP(-((((Model!$C$5*(($C105)+Model!$C$6*(D$100)))-($C$96))/Model!$C$7)^2)/2)/SQRT(2*PI()))-(((Model!$C$5*(($C105)+Model!$C$6*(D$100)))-($C$97))*NORMSDIST(((Model!$C$5*(($C105)+Model!$C$6*(D$100)))-($C$97))/Model!$C$7)+Model!$C$7*EXP(-((((Model!$C$5*(($C105)+Model!$C$6*(D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767.224147719608</v>
      </c>
      <c r="L105" s="27" t="n">
        <f aca="false">$C$95+$C$91*((Model!$C$5*(($C105)+Model!$C$6*(E$100)))-(Model!$C$5*(($C$93)+Model!$C$6*($C$94)))-$C$92*(((((Model!$C$5*(($C105)+Model!$C$6*(E$100)))-($C$96))*NORMSDIST(((Model!$C$5*(($C105)+Model!$C$6*(E$100)))-($C$96))/Model!$C$7)+Model!$C$7*EXP(-((((Model!$C$5*(($C105)+Model!$C$6*(E$100)))-($C$96))/Model!$C$7)^2)/2)/SQRT(2*PI()))-(((Model!$C$5*(($C105)+Model!$C$6*(E$100)))-($C$97))*NORMSDIST(((Model!$C$5*(($C105)+Model!$C$6*(E$100)))-($C$97))/Model!$C$7)+Model!$C$7*EXP(-((((Model!$C$5*(($C105)+Model!$C$6*(E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781.955157816023</v>
      </c>
      <c r="M105" s="27" t="n">
        <f aca="false">$C$95+$C$91*((Model!$C$5*(($C105)+Model!$C$6*(F$100)))-(Model!$C$5*(($C$93)+Model!$C$6*($C$94)))-$C$92*(((((Model!$C$5*(($C105)+Model!$C$6*(F$100)))-($C$96))*NORMSDIST(((Model!$C$5*(($C105)+Model!$C$6*(F$100)))-($C$96))/Model!$C$7)+Model!$C$7*EXP(-((((Model!$C$5*(($C105)+Model!$C$6*(F$100)))-($C$96))/Model!$C$7)^2)/2)/SQRT(2*PI()))-(((Model!$C$5*(($C105)+Model!$C$6*(F$100)))-($C$97))*NORMSDIST(((Model!$C$5*(($C105)+Model!$C$6*(F$100)))-($C$97))/Model!$C$7)+Model!$C$7*EXP(-((((Model!$C$5*(($C105)+Model!$C$6*(F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795.454589167406</v>
      </c>
      <c r="N105" s="27" t="n">
        <f aca="false">$C$95+$C$91*((Model!$C$5*(($C105)+Model!$C$6*(G$100)))-(Model!$C$5*(($C$93)+Model!$C$6*($C$94)))-$C$92*(((((Model!$C$5*(($C105)+Model!$C$6*(G$100)))-($C$96))*NORMSDIST(((Model!$C$5*(($C105)+Model!$C$6*(G$100)))-($C$96))/Model!$C$7)+Model!$C$7*EXP(-((((Model!$C$5*(($C105)+Model!$C$6*(G$100)))-($C$96))/Model!$C$7)^2)/2)/SQRT(2*PI()))-(((Model!$C$5*(($C105)+Model!$C$6*(G$100)))-($C$97))*NORMSDIST(((Model!$C$5*(($C105)+Model!$C$6*(G$100)))-($C$97))/Model!$C$7)+Model!$C$7*EXP(-((((Model!$C$5*(($C105)+Model!$C$6*(G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807.699704914278</v>
      </c>
      <c r="O105" s="27" t="n">
        <f aca="false">$C$95+$C$91*((Model!$C$5*(($C105)+Model!$C$6*(H$100)))-(Model!$C$5*(($C$93)+Model!$C$6*($C$94)))-$C$92*(((((Model!$C$5*(($C105)+Model!$C$6*(H$100)))-($C$96))*NORMSDIST(((Model!$C$5*(($C105)+Model!$C$6*(H$100)))-($C$96))/Model!$C$7)+Model!$C$7*EXP(-((((Model!$C$5*(($C105)+Model!$C$6*(H$100)))-($C$96))/Model!$C$7)^2)/2)/SQRT(2*PI()))-(((Model!$C$5*(($C105)+Model!$C$6*(H$100)))-($C$97))*NORMSDIST(((Model!$C$5*(($C105)+Model!$C$6*(H$100)))-($C$97))/Model!$C$7)+Model!$C$7*EXP(-((((Model!$C$5*(($C105)+Model!$C$6*(H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818.794329758223</v>
      </c>
      <c r="Q105" s="39" t="n">
        <f aca="false">C105</f>
        <v>57</v>
      </c>
      <c r="R105" s="48" t="n">
        <f aca="false">K105-D105</f>
        <v>-13.7758522803921</v>
      </c>
      <c r="S105" s="48" t="n">
        <f aca="false">L105-E105</f>
        <v>-10.0448421839766</v>
      </c>
      <c r="T105" s="48" t="n">
        <f aca="false">M105-F105</f>
        <v>-4.54541083259369</v>
      </c>
      <c r="U105" s="48" t="n">
        <f aca="false">N105-G105</f>
        <v>-2.3002950857225</v>
      </c>
      <c r="V105" s="48" t="n">
        <f aca="false">O105-H105</f>
        <v>-5.20567024177706</v>
      </c>
    </row>
    <row r="106" customFormat="false" ht="15" hidden="false" customHeight="false" outlineLevel="0" collapsed="false">
      <c r="C106" s="6" t="n">
        <v>47</v>
      </c>
      <c r="D106" s="47" t="n">
        <v>752</v>
      </c>
      <c r="E106" s="47" t="n">
        <v>768</v>
      </c>
      <c r="F106" s="47" t="n">
        <v>782</v>
      </c>
      <c r="G106" s="47" t="n">
        <v>791</v>
      </c>
      <c r="H106" s="47" t="n">
        <v>800</v>
      </c>
      <c r="J106" s="39" t="n">
        <f aca="false">C106</f>
        <v>47</v>
      </c>
      <c r="K106" s="27" t="n">
        <f aca="false">$C$95+$C$91*((Model!$C$5*(($C106)+Model!$C$6*(D$100)))-(Model!$C$5*(($C$93)+Model!$C$6*($C$94)))-$C$92*(((((Model!$C$5*(($C106)+Model!$C$6*(D$100)))-($C$96))*NORMSDIST(((Model!$C$5*(($C106)+Model!$C$6*(D$100)))-($C$96))/Model!$C$7)+Model!$C$7*EXP(-((((Model!$C$5*(($C106)+Model!$C$6*(D$100)))-($C$96))/Model!$C$7)^2)/2)/SQRT(2*PI()))-(((Model!$C$5*(($C106)+Model!$C$6*(D$100)))-($C$97))*NORMSDIST(((Model!$C$5*(($C106)+Model!$C$6*(D$100)))-($C$97))/Model!$C$7)+Model!$C$7*EXP(-((((Model!$C$5*(($C106)+Model!$C$6*(D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739.069273492984</v>
      </c>
      <c r="L106" s="27" t="n">
        <f aca="false">$C$95+$C$91*((Model!$C$5*(($C106)+Model!$C$6*(E$100)))-(Model!$C$5*(($C$93)+Model!$C$6*($C$94)))-$C$92*(((((Model!$C$5*(($C106)+Model!$C$6*(E$100)))-($C$96))*NORMSDIST(((Model!$C$5*(($C106)+Model!$C$6*(E$100)))-($C$96))/Model!$C$7)+Model!$C$7*EXP(-((((Model!$C$5*(($C106)+Model!$C$6*(E$100)))-($C$96))/Model!$C$7)^2)/2)/SQRT(2*PI()))-(((Model!$C$5*(($C106)+Model!$C$6*(E$100)))-($C$97))*NORMSDIST(((Model!$C$5*(($C106)+Model!$C$6*(E$100)))-($C$97))/Model!$C$7)+Model!$C$7*EXP(-((((Model!$C$5*(($C106)+Model!$C$6*(E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755.613430547681</v>
      </c>
      <c r="M106" s="27" t="n">
        <f aca="false">$C$95+$C$91*((Model!$C$5*(($C106)+Model!$C$6*(F$100)))-(Model!$C$5*(($C$93)+Model!$C$6*($C$94)))-$C$92*(((((Model!$C$5*(($C106)+Model!$C$6*(F$100)))-($C$96))*NORMSDIST(((Model!$C$5*(($C106)+Model!$C$6*(F$100)))-($C$96))/Model!$C$7)+Model!$C$7*EXP(-((((Model!$C$5*(($C106)+Model!$C$6*(F$100)))-($C$96))/Model!$C$7)^2)/2)/SQRT(2*PI()))-(((Model!$C$5*(($C106)+Model!$C$6*(F$100)))-($C$97))*NORMSDIST(((Model!$C$5*(($C106)+Model!$C$6*(F$100)))-($C$97))/Model!$C$7)+Model!$C$7*EXP(-((((Model!$C$5*(($C106)+Model!$C$6*(F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771.180328747435</v>
      </c>
      <c r="N106" s="27" t="n">
        <f aca="false">$C$95+$C$91*((Model!$C$5*(($C106)+Model!$C$6*(G$100)))-(Model!$C$5*(($C$93)+Model!$C$6*($C$94)))-$C$92*(((((Model!$C$5*(($C106)+Model!$C$6*(G$100)))-($C$96))*NORMSDIST(((Model!$C$5*(($C106)+Model!$C$6*(G$100)))-($C$96))/Model!$C$7)+Model!$C$7*EXP(-((((Model!$C$5*(($C106)+Model!$C$6*(G$100)))-($C$96))/Model!$C$7)^2)/2)/SQRT(2*PI()))-(((Model!$C$5*(($C106)+Model!$C$6*(G$100)))-($C$97))*NORMSDIST(((Model!$C$5*(($C106)+Model!$C$6*(G$100)))-($C$97))/Model!$C$7)+Model!$C$7*EXP(-((((Model!$C$5*(($C106)+Model!$C$6*(G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785.598429853928</v>
      </c>
      <c r="O106" s="27" t="n">
        <f aca="false">$C$95+$C$91*((Model!$C$5*(($C106)+Model!$C$6*(H$100)))-(Model!$C$5*(($C$93)+Model!$C$6*($C$94)))-$C$92*(((((Model!$C$5*(($C106)+Model!$C$6*(H$100)))-($C$96))*NORMSDIST(((Model!$C$5*(($C106)+Model!$C$6*(H$100)))-($C$96))/Model!$C$7)+Model!$C$7*EXP(-((((Model!$C$5*(($C106)+Model!$C$6*(H$100)))-($C$96))/Model!$C$7)^2)/2)/SQRT(2*PI()))-(((Model!$C$5*(($C106)+Model!$C$6*(H$100)))-($C$97))*NORMSDIST(((Model!$C$5*(($C106)+Model!$C$6*(H$100)))-($C$97))/Model!$C$7)+Model!$C$7*EXP(-((((Model!$C$5*(($C106)+Model!$C$6*(H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798.768058214423</v>
      </c>
      <c r="Q106" s="39" t="n">
        <f aca="false">C106</f>
        <v>47</v>
      </c>
      <c r="R106" s="48" t="n">
        <f aca="false">K106-D106</f>
        <v>-12.9307265070158</v>
      </c>
      <c r="S106" s="48" t="n">
        <f aca="false">L106-E106</f>
        <v>-12.3865694523194</v>
      </c>
      <c r="T106" s="48" t="n">
        <f aca="false">M106-F106</f>
        <v>-10.8196712525646</v>
      </c>
      <c r="U106" s="48" t="n">
        <f aca="false">N106-G106</f>
        <v>-5.40157014607235</v>
      </c>
      <c r="V106" s="48" t="n">
        <f aca="false">O106-H106</f>
        <v>-1.23194178557742</v>
      </c>
    </row>
    <row r="107" customFormat="false" ht="15" hidden="false" customHeight="false" outlineLevel="0" collapsed="false">
      <c r="C107" s="6" t="n">
        <v>37</v>
      </c>
      <c r="D107" s="47" t="n">
        <v>720</v>
      </c>
      <c r="E107" s="47" t="n">
        <v>736</v>
      </c>
      <c r="F107" s="47" t="n">
        <v>752</v>
      </c>
      <c r="G107" s="47" t="n">
        <v>768</v>
      </c>
      <c r="H107" s="47" t="n">
        <v>780</v>
      </c>
      <c r="J107" s="39" t="n">
        <f aca="false">C107</f>
        <v>37</v>
      </c>
      <c r="K107" s="27" t="n">
        <f aca="false">$C$95+$C$91*((Model!$C$5*(($C107)+Model!$C$6*(D$100)))-(Model!$C$5*(($C$93)+Model!$C$6*($C$94)))-$C$92*(((((Model!$C$5*(($C107)+Model!$C$6*(D$100)))-($C$96))*NORMSDIST(((Model!$C$5*(($C107)+Model!$C$6*(D$100)))-($C$96))/Model!$C$7)+Model!$C$7*EXP(-((((Model!$C$5*(($C107)+Model!$C$6*(D$100)))-($C$96))/Model!$C$7)^2)/2)/SQRT(2*PI()))-(((Model!$C$5*(($C107)+Model!$C$6*(D$100)))-($C$97))*NORMSDIST(((Model!$C$5*(($C107)+Model!$C$6*(D$100)))-($C$97))/Model!$C$7)+Model!$C$7*EXP(-((((Model!$C$5*(($C107)+Model!$C$6*(D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708.573707492044</v>
      </c>
      <c r="L107" s="27" t="n">
        <f aca="false">$C$95+$C$91*((Model!$C$5*(($C107)+Model!$C$6*(E$100)))-(Model!$C$5*(($C$93)+Model!$C$6*($C$94)))-$C$92*(((((Model!$C$5*(($C107)+Model!$C$6*(E$100)))-($C$96))*NORMSDIST(((Model!$C$5*(($C107)+Model!$C$6*(E$100)))-($C$96))/Model!$C$7)+Model!$C$7*EXP(-((((Model!$C$5*(($C107)+Model!$C$6*(E$100)))-($C$96))/Model!$C$7)^2)/2)/SQRT(2*PI()))-(((Model!$C$5*(($C107)+Model!$C$6*(E$100)))-($C$97))*NORMSDIST(((Model!$C$5*(($C107)+Model!$C$6*(E$100)))-($C$97))/Model!$C$7)+Model!$C$7*EXP(-((((Model!$C$5*(($C107)+Model!$C$6*(E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726.332265296764</v>
      </c>
      <c r="M107" s="27" t="n">
        <f aca="false">$C$95+$C$91*((Model!$C$5*(($C107)+Model!$C$6*(F$100)))-(Model!$C$5*(($C$93)+Model!$C$6*($C$94)))-$C$92*(((((Model!$C$5*(($C107)+Model!$C$6*(F$100)))-($C$96))*NORMSDIST(((Model!$C$5*(($C107)+Model!$C$6*(F$100)))-($C$96))/Model!$C$7)+Model!$C$7*EXP(-((((Model!$C$5*(($C107)+Model!$C$6*(F$100)))-($C$96))/Model!$C$7)^2)/2)/SQRT(2*PI()))-(((Model!$C$5*(($C107)+Model!$C$6*(F$100)))-($C$97))*NORMSDIST(((Model!$C$5*(($C107)+Model!$C$6*(F$100)))-($C$97))/Model!$C$7)+Model!$C$7*EXP(-((((Model!$C$5*(($C107)+Model!$C$6*(F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743.468171611341</v>
      </c>
      <c r="N107" s="27" t="n">
        <f aca="false">$C$95+$C$91*((Model!$C$5*(($C107)+Model!$C$6*(G$100)))-(Model!$C$5*(($C$93)+Model!$C$6*($C$94)))-$C$92*(((((Model!$C$5*(($C107)+Model!$C$6*(G$100)))-($C$96))*NORMSDIST(((Model!$C$5*(($C107)+Model!$C$6*(G$100)))-($C$96))/Model!$C$7)+Model!$C$7*EXP(-((((Model!$C$5*(($C107)+Model!$C$6*(G$100)))-($C$96))/Model!$C$7)^2)/2)/SQRT(2*PI()))-(((Model!$C$5*(($C107)+Model!$C$6*(G$100)))-($C$97))*NORMSDIST(((Model!$C$5*(($C107)+Model!$C$6*(G$100)))-($C$97))/Model!$C$7)+Model!$C$7*EXP(-((((Model!$C$5*(($C107)+Model!$C$6*(G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759.776403939134</v>
      </c>
      <c r="O107" s="27" t="n">
        <f aca="false">$C$95+$C$91*((Model!$C$5*(($C107)+Model!$C$6*(H$100)))-(Model!$C$5*(($C$93)+Model!$C$6*($C$94)))-$C$92*(((((Model!$C$5*(($C107)+Model!$C$6*(H$100)))-($C$96))*NORMSDIST(((Model!$C$5*(($C107)+Model!$C$6*(H$100)))-($C$96))/Model!$C$7)+Model!$C$7*EXP(-((((Model!$C$5*(($C107)+Model!$C$6*(H$100)))-($C$96))/Model!$C$7)^2)/2)/SQRT(2*PI()))-(((Model!$C$5*(($C107)+Model!$C$6*(H$100)))-($C$97))*NORMSDIST(((Model!$C$5*(($C107)+Model!$C$6*(H$100)))-($C$97))/Model!$C$7)+Model!$C$7*EXP(-((((Model!$C$5*(($C107)+Model!$C$6*(H$100)))-($C$97))/Model!$C$7)^2)/2)/SQRT(2*PI())))-((((Model!$C$5*(($C$93)+Model!$C$6*($C$94)))-($C$96))*NORMSDIST(((Model!$C$5*(($C$93)+Model!$C$6*($C$94)))-($C$96))/Model!$C$7)+Model!$C$7*EXP(-((((Model!$C$5*(($C$93)+Model!$C$6*($C$94)))-($C$96))/Model!$C$7)^2)/2)/SQRT(2*PI()))-(((Model!$C$5*(($C$93)+Model!$C$6*($C$94)))-($C$97))*NORMSDIST(((Model!$C$5*(($C$93)+Model!$C$6*($C$94)))-($C$97))/Model!$C$7)+Model!$C$7*EXP(-((((Model!$C$5*(($C$93)+Model!$C$6*($C$94)))-($C$97))/Model!$C$7)^2)/2)/SQRT(2*PI())))))</f>
        <v>775.057948716433</v>
      </c>
      <c r="Q107" s="39" t="n">
        <f aca="false">C107</f>
        <v>37</v>
      </c>
      <c r="R107" s="48" t="n">
        <f aca="false">K107-D107</f>
        <v>-11.4262925079564</v>
      </c>
      <c r="S107" s="48" t="n">
        <f aca="false">L107-E107</f>
        <v>-9.66773470323597</v>
      </c>
      <c r="T107" s="48" t="n">
        <f aca="false">M107-F107</f>
        <v>-8.53182838865905</v>
      </c>
      <c r="U107" s="48" t="n">
        <f aca="false">N107-G107</f>
        <v>-8.22359606086639</v>
      </c>
      <c r="V107" s="48" t="n">
        <f aca="false">O107-H107</f>
        <v>-4.94205128356657</v>
      </c>
    </row>
    <row r="108" customFormat="false" ht="15" hidden="false" customHeight="false" outlineLevel="0" collapsed="false">
      <c r="B108" s="49" t="s">
        <v>146</v>
      </c>
      <c r="C108" s="50" t="n">
        <f aca="false">($C$95+$C$91*(1-$C$92)*Model!$C$5*((C101-$C$93)+(D100-$C$94))-D101)^2+($C$95+$C$91*(1-$C$92)*Model!$C$5*((C101-$C$93)+(E100-$C$94))-E101)^2+($C$95+$C$91*(1-$C$92)*Model!$C$5*((C101-$C$93)+(F100-$C$94))-F101)^2+($C$95+$C$91*(1-$C$92)*Model!$C$5*((C101-$C$93)+(G100-$C$94))-G101)^2+($C$95+$C$91*(1-$C$92)*Model!$C$5*((C101-$C$93)+(H100-$C$94))-H101)^2+($C$95+$C$91*(1-$C$92)*Model!$C$5*((C102-$C$93)+(D100-$C$94))-D102)^2+($C$95+$C$91*(1-$C$92)*Model!$C$5*((C102-$C$93)+(E100-$C$94))-E102)^2+($C$95+$C$91*(1-$C$92)*Model!$C$5*((C102-$C$93)+(F100-$C$94))-F102)^2+($C$95+$C$91*(1-$C$92)*Model!$C$5*((C102-$C$93)+(G100-$C$94))-G102)^2+($C$95+$C$91*(1-$C$92)*Model!$C$5*((C102-$C$93)+(H100-$C$94))-H102)^2+($C$95+$C$91*(1-$C$92)*Model!$C$5*((C103-$C$93)+(D100-$C$94))-D103)^2+($C$95+$C$91*(1-$C$92)*Model!$C$5*((C103-$C$93)+(E100-$C$94))-E103)^2+($C$95+$C$91*(1-$C$92)*Model!$C$5*((C103-$C$93)+(F100-$C$94))-F103)^2+($C$95+$C$91*(1-$C$92)*Model!$C$5*((C103-$C$93)+(G100-$C$94))-G103)^2+($C$95+$C$91*(1-$C$92)*Model!$C$5*((C103-$C$93)+(H100-$C$94))-H103)^2+($C$95+$C$91*(1-$C$92)*Model!$C$5*((C104-$C$93)+(D100-$C$94))-D104)^2+($C$95+$C$91*(1-$C$92)*Model!$C$5*((C104-$C$93)+(E100-$C$94))-E104)^2+($C$95+$C$91*(1-$C$92)*Model!$C$5*((C104-$C$93)+(F100-$C$94))-F104)^2+($C$95+$C$91*(1-$C$92)*Model!$C$5*((C104-$C$93)+(G100-$C$94))-G104)^2+($C$95+$C$91*(1-$C$92)*Model!$C$5*((C104-$C$93)+(H100-$C$94))-H104)^2+($C$95+$C$91*(1-$C$92)*Model!$C$5*((C105-$C$93)+(D100-$C$94))-D105)^2+($C$95+$C$91*(1-$C$92)*Model!$C$5*((C105-$C$93)+(E100-$C$94))-E105)^2+($C$95+$C$91*(1-$C$92)*Model!$C$5*((C105-$C$93)+(F100-$C$94))-F105)^2+($C$95+$C$91*(1-$C$92)*Model!$C$5*((C105-$C$93)+(G100-$C$94))-G105)^2+($C$95+$C$91*(1-$C$92)*Model!$C$5*((C105-$C$93)+(H100-$C$94))-H105)^2+($C$95+$C$91*(1-$C$92)*Model!$C$5*((C106-$C$93)+(D100-$C$94))-D106)^2+($C$95+$C$91*(1-$C$92)*Model!$C$5*((C106-$C$93)+(E100-$C$94))-E106)^2+($C$95+$C$91*(1-$C$92)*Model!$C$5*((C106-$C$93)+(F100-$C$94))-F106)^2+($C$95+$C$91*(1-$C$92)*Model!$C$5*((C106-$C$93)+(G100-$C$94))-G106)^2+($C$95+$C$91*(1-$C$92)*Model!$C$5*((C106-$C$93)+(H100-$C$94))-H106)^2+($C$95+$C$91*(1-$C$92)*Model!$C$5*((C107-$C$93)+(D100-$C$94))-D107)^2+($C$95+$C$91*(1-$C$92)*Model!$C$5*((C107-$C$93)+(E100-$C$94))-E107)^2+($C$95+$C$91*(1-$C$92)*Model!$C$5*((C107-$C$93)+(F100-$C$94))-F107)^2+($C$95+$C$91*(1-$C$92)*Model!$C$5*((C107-$C$93)+(G100-$C$94))-G107)^2+($C$95+$C$91*(1-$C$92)*Model!$C$5*((C107-$C$93)+(H100-$C$94))-H107)^2</f>
        <v>25029.0264375</v>
      </c>
    </row>
    <row r="111" customFormat="false" ht="15" hidden="false" customHeight="false" outlineLevel="0" collapsed="false">
      <c r="B111" s="42" t="s">
        <v>128</v>
      </c>
      <c r="C111" s="43" t="s">
        <v>150</v>
      </c>
    </row>
    <row r="112" customFormat="false" ht="15" hidden="false" customHeight="false" outlineLevel="0" collapsed="false">
      <c r="B112" s="4" t="s">
        <v>114</v>
      </c>
      <c r="C112" s="33" t="s">
        <v>123</v>
      </c>
    </row>
    <row r="113" customFormat="false" ht="15" hidden="false" customHeight="false" outlineLevel="0" collapsed="false">
      <c r="B113" s="4" t="s">
        <v>135</v>
      </c>
      <c r="C113" s="6" t="n">
        <v>2</v>
      </c>
    </row>
    <row r="114" customFormat="false" ht="15" hidden="false" customHeight="false" outlineLevel="0" collapsed="false">
      <c r="B114" s="4" t="s">
        <v>136</v>
      </c>
      <c r="C114" s="11" t="n">
        <f aca="false">C113/12</f>
        <v>0.166666666666667</v>
      </c>
    </row>
    <row r="115" customFormat="false" ht="15" hidden="false" customHeight="false" outlineLevel="0" collapsed="false">
      <c r="B115" s="4" t="s">
        <v>52</v>
      </c>
      <c r="C115" s="15" t="n">
        <v>0.9</v>
      </c>
    </row>
    <row r="116" customFormat="false" ht="15" hidden="false" customHeight="false" outlineLevel="0" collapsed="false">
      <c r="B116" s="4" t="s">
        <v>137</v>
      </c>
      <c r="C116" s="7" t="n">
        <v>66</v>
      </c>
    </row>
    <row r="117" customFormat="false" ht="15" hidden="false" customHeight="false" outlineLevel="0" collapsed="false">
      <c r="B117" s="4" t="s">
        <v>138</v>
      </c>
      <c r="C117" s="7" t="n">
        <v>28.5</v>
      </c>
    </row>
    <row r="118" customFormat="false" ht="15" hidden="false" customHeight="false" outlineLevel="0" collapsed="false">
      <c r="B118" s="4" t="s">
        <v>139</v>
      </c>
      <c r="C118" s="18" t="n">
        <f aca="false">INDEX(D124:H130,MATCH(C116,C124:C130,0),MATCH(C117,D123:H123,0))</f>
        <v>824</v>
      </c>
    </row>
    <row r="119" customFormat="false" ht="15" hidden="false" customHeight="false" outlineLevel="0" collapsed="false">
      <c r="B119" s="4" t="s">
        <v>140</v>
      </c>
      <c r="C119" s="18" t="n">
        <f aca="false">INDEX($C$6:$C$8,MATCH(C112,$B$6:$B$8,0))</f>
        <v>690</v>
      </c>
    </row>
    <row r="120" customFormat="false" ht="15" hidden="false" customHeight="false" outlineLevel="0" collapsed="false">
      <c r="B120" s="4" t="s">
        <v>141</v>
      </c>
      <c r="C120" s="18" t="n">
        <f aca="false">INDEX($D$6:$D$8,MATCH(C112,$B$6:$B$8,0))</f>
        <v>1005</v>
      </c>
    </row>
    <row r="122" customFormat="false" ht="15" hidden="false" customHeight="false" outlineLevel="0" collapsed="false">
      <c r="C122" s="3" t="s">
        <v>142</v>
      </c>
      <c r="J122" s="3" t="s">
        <v>143</v>
      </c>
      <c r="Q122" s="3" t="s">
        <v>144</v>
      </c>
    </row>
    <row r="123" customFormat="false" ht="15" hidden="false" customHeight="false" outlineLevel="0" collapsed="false">
      <c r="C123" s="44" t="s">
        <v>145</v>
      </c>
      <c r="D123" s="45" t="n">
        <v>18.5</v>
      </c>
      <c r="E123" s="45" t="n">
        <v>23.5</v>
      </c>
      <c r="F123" s="45" t="n">
        <v>28.5</v>
      </c>
      <c r="G123" s="45" t="n">
        <v>33.5</v>
      </c>
      <c r="H123" s="45" t="n">
        <v>38.5</v>
      </c>
      <c r="J123" s="44" t="s">
        <v>145</v>
      </c>
      <c r="K123" s="46" t="n">
        <f aca="false">D123</f>
        <v>18.5</v>
      </c>
      <c r="L123" s="46" t="n">
        <f aca="false">E123</f>
        <v>23.5</v>
      </c>
      <c r="M123" s="46" t="n">
        <f aca="false">F123</f>
        <v>28.5</v>
      </c>
      <c r="N123" s="46" t="n">
        <f aca="false">G123</f>
        <v>33.5</v>
      </c>
      <c r="O123" s="46" t="n">
        <f aca="false">H123</f>
        <v>38.5</v>
      </c>
      <c r="Q123" s="44" t="s">
        <v>145</v>
      </c>
      <c r="R123" s="46" t="n">
        <f aca="false">D123</f>
        <v>18.5</v>
      </c>
      <c r="S123" s="46" t="n">
        <f aca="false">E123</f>
        <v>23.5</v>
      </c>
      <c r="T123" s="46" t="n">
        <f aca="false">F123</f>
        <v>28.5</v>
      </c>
      <c r="U123" s="46" t="n">
        <f aca="false">G123</f>
        <v>33.5</v>
      </c>
      <c r="V123" s="46" t="n">
        <f aca="false">H123</f>
        <v>38.5</v>
      </c>
    </row>
    <row r="124" customFormat="false" ht="15" hidden="false" customHeight="false" outlineLevel="0" collapsed="false">
      <c r="C124" s="6" t="n">
        <v>96</v>
      </c>
      <c r="D124" s="47" t="n">
        <v>831</v>
      </c>
      <c r="E124" s="47" t="n">
        <v>835</v>
      </c>
      <c r="F124" s="47" t="n">
        <v>840</v>
      </c>
      <c r="G124" s="47" t="n">
        <v>844</v>
      </c>
      <c r="H124" s="47" t="n">
        <v>849</v>
      </c>
      <c r="J124" s="39" t="n">
        <f aca="false">C124</f>
        <v>96</v>
      </c>
      <c r="K124" s="27" t="n">
        <f aca="false">$C$118+$C$114*((Model!$C$5*(($C124)+Model!$C$6*(D$123)))-(Model!$C$5*(($C$116)+Model!$C$6*($C$117)))-$C$115*(((((Model!$C$5*(($C124)+Model!$C$6*(D$123)))-($C$119))*NORMSDIST(((Model!$C$5*(($C124)+Model!$C$6*(D$123)))-($C$119))/Model!$C$7)+Model!$C$7*EXP(-((((Model!$C$5*(($C124)+Model!$C$6*(D$123)))-($C$119))/Model!$C$7)^2)/2)/SQRT(2*PI()))-(((Model!$C$5*(($C124)+Model!$C$6*(D$123)))-($C$120))*NORMSDIST(((Model!$C$5*(($C124)+Model!$C$6*(D$123)))-($C$120))/Model!$C$7)+Model!$C$7*EXP(-((((Model!$C$5*(($C124)+Model!$C$6*(D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835.109247473453</v>
      </c>
      <c r="L124" s="27" t="n">
        <f aca="false">$C$118+$C$114*((Model!$C$5*(($C124)+Model!$C$6*(E$123)))-(Model!$C$5*(($C$116)+Model!$C$6*($C$117)))-$C$115*(((((Model!$C$5*(($C124)+Model!$C$6*(E$123)))-($C$119))*NORMSDIST(((Model!$C$5*(($C124)+Model!$C$6*(E$123)))-($C$119))/Model!$C$7)+Model!$C$7*EXP(-((((Model!$C$5*(($C124)+Model!$C$6*(E$123)))-($C$119))/Model!$C$7)^2)/2)/SQRT(2*PI()))-(((Model!$C$5*(($C124)+Model!$C$6*(E$123)))-($C$120))*NORMSDIST(((Model!$C$5*(($C124)+Model!$C$6*(E$123)))-($C$120))/Model!$C$7)+Model!$C$7*EXP(-((((Model!$C$5*(($C124)+Model!$C$6*(E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838.941277735028</v>
      </c>
      <c r="M124" s="27" t="n">
        <f aca="false">$C$118+$C$114*((Model!$C$5*(($C124)+Model!$C$6*(F$123)))-(Model!$C$5*(($C$116)+Model!$C$6*($C$117)))-$C$115*(((((Model!$C$5*(($C124)+Model!$C$6*(F$123)))-($C$119))*NORMSDIST(((Model!$C$5*(($C124)+Model!$C$6*(F$123)))-($C$119))/Model!$C$7)+Model!$C$7*EXP(-((((Model!$C$5*(($C124)+Model!$C$6*(F$123)))-($C$119))/Model!$C$7)^2)/2)/SQRT(2*PI()))-(((Model!$C$5*(($C124)+Model!$C$6*(F$123)))-($C$120))*NORMSDIST(((Model!$C$5*(($C124)+Model!$C$6*(F$123)))-($C$120))/Model!$C$7)+Model!$C$7*EXP(-((((Model!$C$5*(($C124)+Model!$C$6*(F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843.22815237337</v>
      </c>
      <c r="N124" s="27" t="n">
        <f aca="false">$C$118+$C$114*((Model!$C$5*(($C124)+Model!$C$6*(G$123)))-(Model!$C$5*(($C$116)+Model!$C$6*($C$117)))-$C$115*(((((Model!$C$5*(($C124)+Model!$C$6*(G$123)))-($C$119))*NORMSDIST(((Model!$C$5*(($C124)+Model!$C$6*(G$123)))-($C$119))/Model!$C$7)+Model!$C$7*EXP(-((((Model!$C$5*(($C124)+Model!$C$6*(G$123)))-($C$119))/Model!$C$7)^2)/2)/SQRT(2*PI()))-(((Model!$C$5*(($C124)+Model!$C$6*(G$123)))-($C$120))*NORMSDIST(((Model!$C$5*(($C124)+Model!$C$6*(G$123)))-($C$120))/Model!$C$7)+Model!$C$7*EXP(-((((Model!$C$5*(($C124)+Model!$C$6*(G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848.051988022762</v>
      </c>
      <c r="O124" s="27" t="n">
        <f aca="false">$C$118+$C$114*((Model!$C$5*(($C124)+Model!$C$6*(H$123)))-(Model!$C$5*(($C$116)+Model!$C$6*($C$117)))-$C$115*(((((Model!$C$5*(($C124)+Model!$C$6*(H$123)))-($C$119))*NORMSDIST(((Model!$C$5*(($C124)+Model!$C$6*(H$123)))-($C$119))/Model!$C$7)+Model!$C$7*EXP(-((((Model!$C$5*(($C124)+Model!$C$6*(H$123)))-($C$119))/Model!$C$7)^2)/2)/SQRT(2*PI()))-(((Model!$C$5*(($C124)+Model!$C$6*(H$123)))-($C$120))*NORMSDIST(((Model!$C$5*(($C124)+Model!$C$6*(H$123)))-($C$120))/Model!$C$7)+Model!$C$7*EXP(-((((Model!$C$5*(($C124)+Model!$C$6*(H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853.435494076638</v>
      </c>
      <c r="Q124" s="39" t="n">
        <f aca="false">C124</f>
        <v>96</v>
      </c>
      <c r="R124" s="48" t="n">
        <f aca="false">K124-D124</f>
        <v>4.10924747345246</v>
      </c>
      <c r="S124" s="48" t="n">
        <f aca="false">L124-E124</f>
        <v>3.94127773502794</v>
      </c>
      <c r="T124" s="48" t="n">
        <f aca="false">M124-F124</f>
        <v>3.22815237336999</v>
      </c>
      <c r="U124" s="48" t="n">
        <f aca="false">N124-G124</f>
        <v>4.05198802276209</v>
      </c>
      <c r="V124" s="48" t="n">
        <f aca="false">O124-H124</f>
        <v>4.43549407663772</v>
      </c>
    </row>
    <row r="125" customFormat="false" ht="15" hidden="false" customHeight="false" outlineLevel="0" collapsed="false">
      <c r="C125" s="6" t="n">
        <v>86</v>
      </c>
      <c r="D125" s="47" t="n">
        <v>829</v>
      </c>
      <c r="E125" s="47" t="n">
        <v>833</v>
      </c>
      <c r="F125" s="47" t="n">
        <v>837</v>
      </c>
      <c r="G125" s="47" t="n">
        <v>842</v>
      </c>
      <c r="H125" s="47" t="n">
        <v>846</v>
      </c>
      <c r="J125" s="39" t="n">
        <f aca="false">C125</f>
        <v>86</v>
      </c>
      <c r="K125" s="27" t="n">
        <f aca="false">$C$118+$C$114*((Model!$C$5*(($C125)+Model!$C$6*(D$123)))-(Model!$C$5*(($C$116)+Model!$C$6*($C$117)))-$C$115*(((((Model!$C$5*(($C125)+Model!$C$6*(D$123)))-($C$119))*NORMSDIST(((Model!$C$5*(($C125)+Model!$C$6*(D$123)))-($C$119))/Model!$C$7)+Model!$C$7*EXP(-((((Model!$C$5*(($C125)+Model!$C$6*(D$123)))-($C$119))/Model!$C$7)^2)/2)/SQRT(2*PI()))-(((Model!$C$5*(($C125)+Model!$C$6*(D$123)))-($C$120))*NORMSDIST(((Model!$C$5*(($C125)+Model!$C$6*(D$123)))-($C$120))/Model!$C$7)+Model!$C$7*EXP(-((((Model!$C$5*(($C125)+Model!$C$6*(D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829.094533485189</v>
      </c>
      <c r="L125" s="27" t="n">
        <f aca="false">$C$118+$C$114*((Model!$C$5*(($C125)+Model!$C$6*(E$123)))-(Model!$C$5*(($C$116)+Model!$C$6*($C$117)))-$C$115*(((((Model!$C$5*(($C125)+Model!$C$6*(E$123)))-($C$119))*NORMSDIST(((Model!$C$5*(($C125)+Model!$C$6*(E$123)))-($C$119))/Model!$C$7)+Model!$C$7*EXP(-((((Model!$C$5*(($C125)+Model!$C$6*(E$123)))-($C$119))/Model!$C$7)^2)/2)/SQRT(2*PI()))-(((Model!$C$5*(($C125)+Model!$C$6*(E$123)))-($C$120))*NORMSDIST(((Model!$C$5*(($C125)+Model!$C$6*(E$123)))-($C$120))/Model!$C$7)+Model!$C$7*EXP(-((((Model!$C$5*(($C125)+Model!$C$6*(E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832.489925542</v>
      </c>
      <c r="M125" s="27" t="n">
        <f aca="false">$C$118+$C$114*((Model!$C$5*(($C125)+Model!$C$6*(F$123)))-(Model!$C$5*(($C$116)+Model!$C$6*($C$117)))-$C$115*(((((Model!$C$5*(($C125)+Model!$C$6*(F$123)))-($C$119))*NORMSDIST(((Model!$C$5*(($C125)+Model!$C$6*(F$123)))-($C$119))/Model!$C$7)+Model!$C$7*EXP(-((((Model!$C$5*(($C125)+Model!$C$6*(F$123)))-($C$119))/Model!$C$7)^2)/2)/SQRT(2*PI()))-(((Model!$C$5*(($C125)+Model!$C$6*(F$123)))-($C$120))*NORMSDIST(((Model!$C$5*(($C125)+Model!$C$6*(F$123)))-($C$120))/Model!$C$7)+Model!$C$7*EXP(-((((Model!$C$5*(($C125)+Model!$C$6*(F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836.071892401533</v>
      </c>
      <c r="N125" s="27" t="n">
        <f aca="false">$C$118+$C$114*((Model!$C$5*(($C125)+Model!$C$6*(G$123)))-(Model!$C$5*(($C$116)+Model!$C$6*($C$117)))-$C$115*(((((Model!$C$5*(($C125)+Model!$C$6*(G$123)))-($C$119))*NORMSDIST(((Model!$C$5*(($C125)+Model!$C$6*(G$123)))-($C$119))/Model!$C$7)+Model!$C$7*EXP(-((((Model!$C$5*(($C125)+Model!$C$6*(G$123)))-($C$119))/Model!$C$7)^2)/2)/SQRT(2*PI()))-(((Model!$C$5*(($C125)+Model!$C$6*(G$123)))-($C$120))*NORMSDIST(((Model!$C$5*(($C125)+Model!$C$6*(G$123)))-($C$120))/Model!$C$7)+Model!$C$7*EXP(-((((Model!$C$5*(($C125)+Model!$C$6*(G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840.011359118847</v>
      </c>
      <c r="O125" s="27" t="n">
        <f aca="false">$C$118+$C$114*((Model!$C$5*(($C125)+Model!$C$6*(H$123)))-(Model!$C$5*(($C$116)+Model!$C$6*($C$117)))-$C$115*(((((Model!$C$5*(($C125)+Model!$C$6*(H$123)))-($C$119))*NORMSDIST(((Model!$C$5*(($C125)+Model!$C$6*(H$123)))-($C$119))/Model!$C$7)+Model!$C$7*EXP(-((((Model!$C$5*(($C125)+Model!$C$6*(H$123)))-($C$119))/Model!$C$7)^2)/2)/SQRT(2*PI()))-(((Model!$C$5*(($C125)+Model!$C$6*(H$123)))-($C$120))*NORMSDIST(((Model!$C$5*(($C125)+Model!$C$6*(H$123)))-($C$120))/Model!$C$7)+Model!$C$7*EXP(-((((Model!$C$5*(($C125)+Model!$C$6*(H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844.432832083212</v>
      </c>
      <c r="Q125" s="39" t="n">
        <f aca="false">C125</f>
        <v>86</v>
      </c>
      <c r="R125" s="48" t="n">
        <f aca="false">K125-D125</f>
        <v>0.0945334851891175</v>
      </c>
      <c r="S125" s="48" t="n">
        <f aca="false">L125-E125</f>
        <v>-0.510074457999622</v>
      </c>
      <c r="T125" s="48" t="n">
        <f aca="false">M125-F125</f>
        <v>-0.928107598466909</v>
      </c>
      <c r="U125" s="48" t="n">
        <f aca="false">N125-G125</f>
        <v>-1.98864088115306</v>
      </c>
      <c r="V125" s="48" t="n">
        <f aca="false">O125-H125</f>
        <v>-1.56716791678809</v>
      </c>
    </row>
    <row r="126" customFormat="false" ht="15" hidden="false" customHeight="false" outlineLevel="0" collapsed="false">
      <c r="C126" s="6" t="n">
        <v>76</v>
      </c>
      <c r="D126" s="47" t="n">
        <v>822</v>
      </c>
      <c r="E126" s="47" t="n">
        <v>829</v>
      </c>
      <c r="F126" s="47" t="n">
        <v>834</v>
      </c>
      <c r="G126" s="47" t="n">
        <v>839</v>
      </c>
      <c r="H126" s="47" t="n">
        <v>843</v>
      </c>
      <c r="J126" s="39" t="n">
        <f aca="false">C126</f>
        <v>76</v>
      </c>
      <c r="K126" s="27" t="n">
        <f aca="false">$C$118+$C$114*((Model!$C$5*(($C126)+Model!$C$6*(D$123)))-(Model!$C$5*(($C$116)+Model!$C$6*($C$117)))-$C$115*(((((Model!$C$5*(($C126)+Model!$C$6*(D$123)))-($C$119))*NORMSDIST(((Model!$C$5*(($C126)+Model!$C$6*(D$123)))-($C$119))/Model!$C$7)+Model!$C$7*EXP(-((((Model!$C$5*(($C126)+Model!$C$6*(D$123)))-($C$119))/Model!$C$7)^2)/2)/SQRT(2*PI()))-(((Model!$C$5*(($C126)+Model!$C$6*(D$123)))-($C$120))*NORMSDIST(((Model!$C$5*(($C126)+Model!$C$6*(D$123)))-($C$120))/Model!$C$7)+Model!$C$7*EXP(-((((Model!$C$5*(($C126)+Model!$C$6*(D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823.051464218283</v>
      </c>
      <c r="L126" s="27" t="n">
        <f aca="false">$C$118+$C$114*((Model!$C$5*(($C126)+Model!$C$6*(E$123)))-(Model!$C$5*(($C$116)+Model!$C$6*($C$117)))-$C$115*(((((Model!$C$5*(($C126)+Model!$C$6*(E$123)))-($C$119))*NORMSDIST(((Model!$C$5*(($C126)+Model!$C$6*(E$123)))-($C$119))/Model!$C$7)+Model!$C$7*EXP(-((((Model!$C$5*(($C126)+Model!$C$6*(E$123)))-($C$119))/Model!$C$7)^2)/2)/SQRT(2*PI()))-(((Model!$C$5*(($C126)+Model!$C$6*(E$123)))-($C$120))*NORMSDIST(((Model!$C$5*(($C126)+Model!$C$6*(E$123)))-($C$120))/Model!$C$7)+Model!$C$7*EXP(-((((Model!$C$5*(($C126)+Model!$C$6*(E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826.589906613881</v>
      </c>
      <c r="M126" s="27" t="n">
        <f aca="false">$C$118+$C$114*((Model!$C$5*(($C126)+Model!$C$6*(F$123)))-(Model!$C$5*(($C$116)+Model!$C$6*($C$117)))-$C$115*(((((Model!$C$5*(($C126)+Model!$C$6*(F$123)))-($C$119))*NORMSDIST(((Model!$C$5*(($C126)+Model!$C$6*(F$123)))-($C$119))/Model!$C$7)+Model!$C$7*EXP(-((((Model!$C$5*(($C126)+Model!$C$6*(F$123)))-($C$119))/Model!$C$7)^2)/2)/SQRT(2*PI()))-(((Model!$C$5*(($C126)+Model!$C$6*(F$123)))-($C$120))*NORMSDIST(((Model!$C$5*(($C126)+Model!$C$6*(F$123)))-($C$120))/Model!$C$7)+Model!$C$7*EXP(-((((Model!$C$5*(($C126)+Model!$C$6*(F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829.973066884225</v>
      </c>
      <c r="N126" s="27" t="n">
        <f aca="false">$C$118+$C$114*((Model!$C$5*(($C126)+Model!$C$6*(G$123)))-(Model!$C$5*(($C$116)+Model!$C$6*($C$117)))-$C$115*(((((Model!$C$5*(($C126)+Model!$C$6*(G$123)))-($C$119))*NORMSDIST(((Model!$C$5*(($C126)+Model!$C$6*(G$123)))-($C$119))/Model!$C$7)+Model!$C$7*EXP(-((((Model!$C$5*(($C126)+Model!$C$6*(G$123)))-($C$119))/Model!$C$7)^2)/2)/SQRT(2*PI()))-(((Model!$C$5*(($C126)+Model!$C$6*(G$123)))-($C$120))*NORMSDIST(((Model!$C$5*(($C126)+Model!$C$6*(G$123)))-($C$120))/Model!$C$7)+Model!$C$7*EXP(-((((Model!$C$5*(($C126)+Model!$C$6*(G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833.398796672669</v>
      </c>
      <c r="O126" s="27" t="n">
        <f aca="false">$C$118+$C$114*((Model!$C$5*(($C126)+Model!$C$6*(H$123)))-(Model!$C$5*(($C$116)+Model!$C$6*($C$117)))-$C$115*(((((Model!$C$5*(($C126)+Model!$C$6*(H$123)))-($C$119))*NORMSDIST(((Model!$C$5*(($C126)+Model!$C$6*(H$123)))-($C$119))/Model!$C$7)+Model!$C$7*EXP(-((((Model!$C$5*(($C126)+Model!$C$6*(H$123)))-($C$119))/Model!$C$7)^2)/2)/SQRT(2*PI()))-(((Model!$C$5*(($C126)+Model!$C$6*(H$123)))-($C$120))*NORMSDIST(((Model!$C$5*(($C126)+Model!$C$6*(H$123)))-($C$120))/Model!$C$7)+Model!$C$7*EXP(-((((Model!$C$5*(($C126)+Model!$C$6*(H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837.059118504632</v>
      </c>
      <c r="Q126" s="39" t="n">
        <f aca="false">C126</f>
        <v>76</v>
      </c>
      <c r="R126" s="48" t="n">
        <f aca="false">K126-D126</f>
        <v>1.05146421828249</v>
      </c>
      <c r="S126" s="48" t="n">
        <f aca="false">L126-E126</f>
        <v>-2.41009338611946</v>
      </c>
      <c r="T126" s="48" t="n">
        <f aca="false">M126-F126</f>
        <v>-4.02693311577548</v>
      </c>
      <c r="U126" s="48" t="n">
        <f aca="false">N126-G126</f>
        <v>-5.60120332733152</v>
      </c>
      <c r="V126" s="48" t="n">
        <f aca="false">O126-H126</f>
        <v>-5.94088149536788</v>
      </c>
    </row>
    <row r="127" customFormat="false" ht="15" hidden="false" customHeight="false" outlineLevel="0" collapsed="false">
      <c r="C127" s="6" t="n">
        <v>66</v>
      </c>
      <c r="D127" s="47" t="n">
        <v>810</v>
      </c>
      <c r="E127" s="47" t="n">
        <v>817</v>
      </c>
      <c r="F127" s="47" t="n">
        <v>824</v>
      </c>
      <c r="G127" s="47" t="n">
        <v>831</v>
      </c>
      <c r="H127" s="47" t="n">
        <v>836</v>
      </c>
      <c r="J127" s="39" t="n">
        <f aca="false">C127</f>
        <v>66</v>
      </c>
      <c r="K127" s="27" t="n">
        <f aca="false">$C$118+$C$114*((Model!$C$5*(($C127)+Model!$C$6*(D$123)))-(Model!$C$5*(($C$116)+Model!$C$6*($C$117)))-$C$115*(((((Model!$C$5*(($C127)+Model!$C$6*(D$123)))-($C$119))*NORMSDIST(((Model!$C$5*(($C127)+Model!$C$6*(D$123)))-($C$119))/Model!$C$7)+Model!$C$7*EXP(-((((Model!$C$5*(($C127)+Model!$C$6*(D$123)))-($C$119))/Model!$C$7)^2)/2)/SQRT(2*PI()))-(((Model!$C$5*(($C127)+Model!$C$6*(D$123)))-($C$120))*NORMSDIST(((Model!$C$5*(($C127)+Model!$C$6*(D$123)))-($C$120))/Model!$C$7)+Model!$C$7*EXP(-((((Model!$C$5*(($C127)+Model!$C$6*(D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816.026477405274</v>
      </c>
      <c r="L127" s="27" t="n">
        <f aca="false">$C$118+$C$114*((Model!$C$5*(($C127)+Model!$C$6*(E$123)))-(Model!$C$5*(($C$116)+Model!$C$6*($C$117)))-$C$115*(((((Model!$C$5*(($C127)+Model!$C$6*(E$123)))-($C$119))*NORMSDIST(((Model!$C$5*(($C127)+Model!$C$6*(E$123)))-($C$119))/Model!$C$7)+Model!$C$7*EXP(-((((Model!$C$5*(($C127)+Model!$C$6*(E$123)))-($C$119))/Model!$C$7)^2)/2)/SQRT(2*PI()))-(((Model!$C$5*(($C127)+Model!$C$6*(E$123)))-($C$120))*NORMSDIST(((Model!$C$5*(($C127)+Model!$C$6*(E$123)))-($C$120))/Model!$C$7)+Model!$C$7*EXP(-((((Model!$C$5*(($C127)+Model!$C$6*(E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820.231068136877</v>
      </c>
      <c r="M127" s="27" t="n">
        <f aca="false">$C$118+$C$114*((Model!$C$5*(($C127)+Model!$C$6*(F$123)))-(Model!$C$5*(($C$116)+Model!$C$6*($C$117)))-$C$115*(((((Model!$C$5*(($C127)+Model!$C$6*(F$123)))-($C$119))*NORMSDIST(((Model!$C$5*(($C127)+Model!$C$6*(F$123)))-($C$119))/Model!$C$7)+Model!$C$7*EXP(-((((Model!$C$5*(($C127)+Model!$C$6*(F$123)))-($C$119))/Model!$C$7)^2)/2)/SQRT(2*PI()))-(((Model!$C$5*(($C127)+Model!$C$6*(F$123)))-($C$120))*NORMSDIST(((Model!$C$5*(($C127)+Model!$C$6*(F$123)))-($C$120))/Model!$C$7)+Model!$C$7*EXP(-((((Model!$C$5*(($C127)+Model!$C$6*(F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824</v>
      </c>
      <c r="N127" s="27" t="n">
        <f aca="false">$C$118+$C$114*((Model!$C$5*(($C127)+Model!$C$6*(G$123)))-(Model!$C$5*(($C$116)+Model!$C$6*($C$117)))-$C$115*(((((Model!$C$5*(($C127)+Model!$C$6*(G$123)))-($C$119))*NORMSDIST(((Model!$C$5*(($C127)+Model!$C$6*(G$123)))-($C$119))/Model!$C$7)+Model!$C$7*EXP(-((((Model!$C$5*(($C127)+Model!$C$6*(G$123)))-($C$119))/Model!$C$7)^2)/2)/SQRT(2*PI()))-(((Model!$C$5*(($C127)+Model!$C$6*(G$123)))-($C$120))*NORMSDIST(((Model!$C$5*(($C127)+Model!$C$6*(G$123)))-($C$120))/Model!$C$7)+Model!$C$7*EXP(-((((Model!$C$5*(($C127)+Model!$C$6*(G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827.479588062931</v>
      </c>
      <c r="O127" s="27" t="n">
        <f aca="false">$C$118+$C$114*((Model!$C$5*(($C127)+Model!$C$6*(H$123)))-(Model!$C$5*(($C$116)+Model!$C$6*($C$117)))-$C$115*(((((Model!$C$5*(($C127)+Model!$C$6*(H$123)))-($C$119))*NORMSDIST(((Model!$C$5*(($C127)+Model!$C$6*(H$123)))-($C$119))/Model!$C$7)+Model!$C$7*EXP(-((((Model!$C$5*(($C127)+Model!$C$6*(H$123)))-($C$119))/Model!$C$7)^2)/2)/SQRT(2*PI()))-(((Model!$C$5*(($C127)+Model!$C$6*(H$123)))-($C$120))*NORMSDIST(((Model!$C$5*(($C127)+Model!$C$6*(H$123)))-($C$120))/Model!$C$7)+Model!$C$7*EXP(-((((Model!$C$5*(($C127)+Model!$C$6*(H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830.854528983566</v>
      </c>
      <c r="Q127" s="39" t="n">
        <f aca="false">C127</f>
        <v>66</v>
      </c>
      <c r="R127" s="48" t="n">
        <f aca="false">K127-D127</f>
        <v>6.02647740527368</v>
      </c>
      <c r="S127" s="48" t="n">
        <f aca="false">L127-E127</f>
        <v>3.2310681368773</v>
      </c>
      <c r="T127" s="48" t="n">
        <f aca="false">M127-F127</f>
        <v>0</v>
      </c>
      <c r="U127" s="48" t="n">
        <f aca="false">N127-G127</f>
        <v>-3.52041193706862</v>
      </c>
      <c r="V127" s="48" t="n">
        <f aca="false">O127-H127</f>
        <v>-5.14547101643359</v>
      </c>
    </row>
    <row r="128" customFormat="false" ht="15" hidden="false" customHeight="false" outlineLevel="0" collapsed="false">
      <c r="C128" s="6" t="n">
        <v>56</v>
      </c>
      <c r="D128" s="47" t="n">
        <v>804</v>
      </c>
      <c r="E128" s="47" t="n">
        <v>810</v>
      </c>
      <c r="F128" s="47" t="n">
        <v>815</v>
      </c>
      <c r="G128" s="47" t="n">
        <v>823</v>
      </c>
      <c r="H128" s="47" t="n">
        <v>830</v>
      </c>
      <c r="J128" s="39" t="n">
        <f aca="false">C128</f>
        <v>56</v>
      </c>
      <c r="K128" s="27" t="n">
        <f aca="false">$C$118+$C$114*((Model!$C$5*(($C128)+Model!$C$6*(D$123)))-(Model!$C$5*(($C$116)+Model!$C$6*($C$117)))-$C$115*(((((Model!$C$5*(($C128)+Model!$C$6*(D$123)))-($C$119))*NORMSDIST(((Model!$C$5*(($C128)+Model!$C$6*(D$123)))-($C$119))/Model!$C$7)+Model!$C$7*EXP(-((((Model!$C$5*(($C128)+Model!$C$6*(D$123)))-($C$119))/Model!$C$7)^2)/2)/SQRT(2*PI()))-(((Model!$C$5*(($C128)+Model!$C$6*(D$123)))-($C$120))*NORMSDIST(((Model!$C$5*(($C128)+Model!$C$6*(D$123)))-($C$120))/Model!$C$7)+Model!$C$7*EXP(-((((Model!$C$5*(($C128)+Model!$C$6*(D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807.436466897857</v>
      </c>
      <c r="L128" s="27" t="n">
        <f aca="false">$C$118+$C$114*((Model!$C$5*(($C128)+Model!$C$6*(E$123)))-(Model!$C$5*(($C$116)+Model!$C$6*($C$117)))-$C$115*(((((Model!$C$5*(($C128)+Model!$C$6*(E$123)))-($C$119))*NORMSDIST(((Model!$C$5*(($C128)+Model!$C$6*(E$123)))-($C$119))/Model!$C$7)+Model!$C$7*EXP(-((((Model!$C$5*(($C128)+Model!$C$6*(E$123)))-($C$119))/Model!$C$7)^2)/2)/SQRT(2*PI()))-(((Model!$C$5*(($C128)+Model!$C$6*(E$123)))-($C$120))*NORMSDIST(((Model!$C$5*(($C128)+Model!$C$6*(E$123)))-($C$120))/Model!$C$7)+Model!$C$7*EXP(-((((Model!$C$5*(($C128)+Model!$C$6*(E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812.58250086485</v>
      </c>
      <c r="M128" s="27" t="n">
        <f aca="false">$C$118+$C$114*((Model!$C$5*(($C128)+Model!$C$6*(F$123)))-(Model!$C$5*(($C$116)+Model!$C$6*($C$117)))-$C$115*(((((Model!$C$5*(($C128)+Model!$C$6*(F$123)))-($C$119))*NORMSDIST(((Model!$C$5*(($C128)+Model!$C$6*(F$123)))-($C$119))/Model!$C$7)+Model!$C$7*EXP(-((((Model!$C$5*(($C128)+Model!$C$6*(F$123)))-($C$119))/Model!$C$7)^2)/2)/SQRT(2*PI()))-(((Model!$C$5*(($C128)+Model!$C$6*(F$123)))-($C$120))*NORMSDIST(((Model!$C$5*(($C128)+Model!$C$6*(F$123)))-($C$120))/Model!$C$7)+Model!$C$7*EXP(-((((Model!$C$5*(($C128)+Model!$C$6*(F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817.171514780457</v>
      </c>
      <c r="N128" s="27" t="n">
        <f aca="false">$C$118+$C$114*((Model!$C$5*(($C128)+Model!$C$6*(G$123)))-(Model!$C$5*(($C$116)+Model!$C$6*($C$117)))-$C$115*(((((Model!$C$5*(($C128)+Model!$C$6*(G$123)))-($C$119))*NORMSDIST(((Model!$C$5*(($C128)+Model!$C$6*(G$123)))-($C$119))/Model!$C$7)+Model!$C$7*EXP(-((((Model!$C$5*(($C128)+Model!$C$6*(G$123)))-($C$119))/Model!$C$7)^2)/2)/SQRT(2*PI()))-(((Model!$C$5*(($C128)+Model!$C$6*(G$123)))-($C$120))*NORMSDIST(((Model!$C$5*(($C128)+Model!$C$6*(G$123)))-($C$120))/Model!$C$7)+Model!$C$7*EXP(-((((Model!$C$5*(($C128)+Model!$C$6*(G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821.251208109413</v>
      </c>
      <c r="O128" s="27" t="n">
        <f aca="false">$C$118+$C$114*((Model!$C$5*(($C128)+Model!$C$6*(H$123)))-(Model!$C$5*(($C$116)+Model!$C$6*($C$117)))-$C$115*(((((Model!$C$5*(($C128)+Model!$C$6*(H$123)))-($C$119))*NORMSDIST(((Model!$C$5*(($C128)+Model!$C$6*(H$123)))-($C$119))/Model!$C$7)+Model!$C$7*EXP(-((((Model!$C$5*(($C128)+Model!$C$6*(H$123)))-($C$119))/Model!$C$7)^2)/2)/SQRT(2*PI()))-(((Model!$C$5*(($C128)+Model!$C$6*(H$123)))-($C$120))*NORMSDIST(((Model!$C$5*(($C128)+Model!$C$6*(H$123)))-($C$120))/Model!$C$7)+Model!$C$7*EXP(-((((Model!$C$5*(($C128)+Model!$C$6*(H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824.928636392495</v>
      </c>
      <c r="Q128" s="39" t="n">
        <f aca="false">C128</f>
        <v>56</v>
      </c>
      <c r="R128" s="48" t="n">
        <f aca="false">K128-D128</f>
        <v>3.43646689785714</v>
      </c>
      <c r="S128" s="48" t="n">
        <f aca="false">L128-E128</f>
        <v>2.58250086485009</v>
      </c>
      <c r="T128" s="48" t="n">
        <f aca="false">M128-F128</f>
        <v>2.1715147804573</v>
      </c>
      <c r="U128" s="48" t="n">
        <f aca="false">N128-G128</f>
        <v>-1.74879189058686</v>
      </c>
      <c r="V128" s="48" t="n">
        <f aca="false">O128-H128</f>
        <v>-5.07136360750542</v>
      </c>
    </row>
    <row r="129" customFormat="false" ht="15" hidden="false" customHeight="false" outlineLevel="0" collapsed="false">
      <c r="C129" s="6" t="n">
        <v>46</v>
      </c>
      <c r="D129" s="47" t="n">
        <v>792</v>
      </c>
      <c r="E129" s="47" t="n">
        <v>800</v>
      </c>
      <c r="F129" s="47" t="n">
        <v>806</v>
      </c>
      <c r="G129" s="47" t="n">
        <v>811</v>
      </c>
      <c r="H129" s="47" t="n">
        <v>818</v>
      </c>
      <c r="J129" s="39" t="n">
        <f aca="false">C129</f>
        <v>46</v>
      </c>
      <c r="K129" s="27" t="n">
        <f aca="false">$C$118+$C$114*((Model!$C$5*(($C129)+Model!$C$6*(D$123)))-(Model!$C$5*(($C$116)+Model!$C$6*($C$117)))-$C$115*(((((Model!$C$5*(($C129)+Model!$C$6*(D$123)))-($C$119))*NORMSDIST(((Model!$C$5*(($C129)+Model!$C$6*(D$123)))-($C$119))/Model!$C$7)+Model!$C$7*EXP(-((((Model!$C$5*(($C129)+Model!$C$6*(D$123)))-($C$119))/Model!$C$7)^2)/2)/SQRT(2*PI()))-(((Model!$C$5*(($C129)+Model!$C$6*(D$123)))-($C$120))*NORMSDIST(((Model!$C$5*(($C129)+Model!$C$6*(D$123)))-($C$120))/Model!$C$7)+Model!$C$7*EXP(-((((Model!$C$5*(($C129)+Model!$C$6*(D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797.211051337957</v>
      </c>
      <c r="L129" s="27" t="n">
        <f aca="false">$C$118+$C$114*((Model!$C$5*(($C129)+Model!$C$6*(E$123)))-(Model!$C$5*(($C$116)+Model!$C$6*($C$117)))-$C$115*(((((Model!$C$5*(($C129)+Model!$C$6*(E$123)))-($C$119))*NORMSDIST(((Model!$C$5*(($C129)+Model!$C$6*(E$123)))-($C$119))/Model!$C$7)+Model!$C$7*EXP(-((((Model!$C$5*(($C129)+Model!$C$6*(E$123)))-($C$119))/Model!$C$7)^2)/2)/SQRT(2*PI()))-(((Model!$C$5*(($C129)+Model!$C$6*(E$123)))-($C$120))*NORMSDIST(((Model!$C$5*(($C129)+Model!$C$6*(E$123)))-($C$120))/Model!$C$7)+Model!$C$7*EXP(-((((Model!$C$5*(($C129)+Model!$C$6*(E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803.278147340039</v>
      </c>
      <c r="M129" s="27" t="n">
        <f aca="false">$C$118+$C$114*((Model!$C$5*(($C129)+Model!$C$6*(F$123)))-(Model!$C$5*(($C$116)+Model!$C$6*($C$117)))-$C$115*(((((Model!$C$5*(($C129)+Model!$C$6*(F$123)))-($C$119))*NORMSDIST(((Model!$C$5*(($C129)+Model!$C$6*(F$123)))-($C$119))/Model!$C$7)+Model!$C$7*EXP(-((((Model!$C$5*(($C129)+Model!$C$6*(F$123)))-($C$119))/Model!$C$7)^2)/2)/SQRT(2*PI()))-(((Model!$C$5*(($C129)+Model!$C$6*(F$123)))-($C$120))*NORMSDIST(((Model!$C$5*(($C129)+Model!$C$6*(F$123)))-($C$120))/Model!$C$7)+Model!$C$7*EXP(-((((Model!$C$5*(($C129)+Model!$C$6*(F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808.833028457557</v>
      </c>
      <c r="N129" s="27" t="n">
        <f aca="false">$C$118+$C$114*((Model!$C$5*(($C129)+Model!$C$6*(G$123)))-(Model!$C$5*(($C$116)+Model!$C$6*($C$117)))-$C$115*(((((Model!$C$5*(($C129)+Model!$C$6*(G$123)))-($C$119))*NORMSDIST(((Model!$C$5*(($C129)+Model!$C$6*(G$123)))-($C$119))/Model!$C$7)+Model!$C$7*EXP(-((((Model!$C$5*(($C129)+Model!$C$6*(G$123)))-($C$119))/Model!$C$7)^2)/2)/SQRT(2*PI()))-(((Model!$C$5*(($C129)+Model!$C$6*(G$123)))-($C$120))*NORMSDIST(((Model!$C$5*(($C129)+Model!$C$6*(G$123)))-($C$120))/Model!$C$7)+Model!$C$7*EXP(-((((Model!$C$5*(($C129)+Model!$C$6*(G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813.832459293147</v>
      </c>
      <c r="O129" s="27" t="n">
        <f aca="false">$C$118+$C$114*((Model!$C$5*(($C129)+Model!$C$6*(H$123)))-(Model!$C$5*(($C$116)+Model!$C$6*($C$117)))-$C$115*(((((Model!$C$5*(($C129)+Model!$C$6*(H$123)))-($C$119))*NORMSDIST(((Model!$C$5*(($C129)+Model!$C$6*(H$123)))-($C$119))/Model!$C$7)+Model!$C$7*EXP(-((((Model!$C$5*(($C129)+Model!$C$6*(H$123)))-($C$119))/Model!$C$7)^2)/2)/SQRT(2*PI()))-(((Model!$C$5*(($C129)+Model!$C$6*(H$123)))-($C$120))*NORMSDIST(((Model!$C$5*(($C129)+Model!$C$6*(H$123)))-($C$120))/Model!$C$7)+Model!$C$7*EXP(-((((Model!$C$5*(($C129)+Model!$C$6*(H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818.281569723925</v>
      </c>
      <c r="Q129" s="39" t="n">
        <f aca="false">C129</f>
        <v>46</v>
      </c>
      <c r="R129" s="48" t="n">
        <f aca="false">K129-D129</f>
        <v>5.21105133795663</v>
      </c>
      <c r="S129" s="48" t="n">
        <f aca="false">L129-E129</f>
        <v>3.27814734003914</v>
      </c>
      <c r="T129" s="48" t="n">
        <f aca="false">M129-F129</f>
        <v>2.83302845755657</v>
      </c>
      <c r="U129" s="48" t="n">
        <f aca="false">N129-G129</f>
        <v>2.83245929314694</v>
      </c>
      <c r="V129" s="48" t="n">
        <f aca="false">O129-H129</f>
        <v>0.281569723925031</v>
      </c>
    </row>
    <row r="130" customFormat="false" ht="15" hidden="false" customHeight="false" outlineLevel="0" collapsed="false">
      <c r="C130" s="6" t="n">
        <v>36</v>
      </c>
      <c r="D130" s="47" t="n">
        <v>776</v>
      </c>
      <c r="E130" s="47" t="n">
        <v>785</v>
      </c>
      <c r="F130" s="47" t="n">
        <v>794</v>
      </c>
      <c r="G130" s="47" t="n">
        <v>802</v>
      </c>
      <c r="H130" s="47" t="n">
        <v>807</v>
      </c>
      <c r="J130" s="39" t="n">
        <f aca="false">C130</f>
        <v>36</v>
      </c>
      <c r="K130" s="27" t="n">
        <f aca="false">$C$118+$C$114*((Model!$C$5*(($C130)+Model!$C$6*(D$123)))-(Model!$C$5*(($C$116)+Model!$C$6*($C$117)))-$C$115*(((((Model!$C$5*(($C130)+Model!$C$6*(D$123)))-($C$119))*NORMSDIST(((Model!$C$5*(($C130)+Model!$C$6*(D$123)))-($C$119))/Model!$C$7)+Model!$C$7*EXP(-((((Model!$C$5*(($C130)+Model!$C$6*(D$123)))-($C$119))/Model!$C$7)^2)/2)/SQRT(2*PI()))-(((Model!$C$5*(($C130)+Model!$C$6*(D$123)))-($C$120))*NORMSDIST(((Model!$C$5*(($C130)+Model!$C$6*(D$123)))-($C$120))/Model!$C$7)+Model!$C$7*EXP(-((((Model!$C$5*(($C130)+Model!$C$6*(D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785.672656096175</v>
      </c>
      <c r="L130" s="27" t="n">
        <f aca="false">$C$118+$C$114*((Model!$C$5*(($C130)+Model!$C$6*(E$123)))-(Model!$C$5*(($C$116)+Model!$C$6*($C$117)))-$C$115*(((((Model!$C$5*(($C130)+Model!$C$6*(E$123)))-($C$119))*NORMSDIST(((Model!$C$5*(($C130)+Model!$C$6*(E$123)))-($C$119))/Model!$C$7)+Model!$C$7*EXP(-((((Model!$C$5*(($C130)+Model!$C$6*(E$123)))-($C$119))/Model!$C$7)^2)/2)/SQRT(2*PI()))-(((Model!$C$5*(($C130)+Model!$C$6*(E$123)))-($C$120))*NORMSDIST(((Model!$C$5*(($C130)+Model!$C$6*(E$123)))-($C$120))/Model!$C$7)+Model!$C$7*EXP(-((((Model!$C$5*(($C130)+Model!$C$6*(E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792.441120020405</v>
      </c>
      <c r="M130" s="27" t="n">
        <f aca="false">$C$118+$C$114*((Model!$C$5*(($C130)+Model!$C$6*(F$123)))-(Model!$C$5*(($C$116)+Model!$C$6*($C$117)))-$C$115*(((((Model!$C$5*(($C130)+Model!$C$6*(F$123)))-($C$119))*NORMSDIST(((Model!$C$5*(($C130)+Model!$C$6*(F$123)))-($C$119))/Model!$C$7)+Model!$C$7*EXP(-((((Model!$C$5*(($C130)+Model!$C$6*(F$123)))-($C$119))/Model!$C$7)^2)/2)/SQRT(2*PI()))-(((Model!$C$5*(($C130)+Model!$C$6*(F$123)))-($C$120))*NORMSDIST(((Model!$C$5*(($C130)+Model!$C$6*(F$123)))-($C$120))/Model!$C$7)+Model!$C$7*EXP(-((((Model!$C$5*(($C130)+Model!$C$6*(F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798.839324846587</v>
      </c>
      <c r="N130" s="27" t="n">
        <f aca="false">$C$118+$C$114*((Model!$C$5*(($C130)+Model!$C$6*(G$123)))-(Model!$C$5*(($C$116)+Model!$C$6*($C$117)))-$C$115*(((((Model!$C$5*(($C130)+Model!$C$6*(G$123)))-($C$119))*NORMSDIST(((Model!$C$5*(($C130)+Model!$C$6*(G$123)))-($C$119))/Model!$C$7)+Model!$C$7*EXP(-((((Model!$C$5*(($C130)+Model!$C$6*(G$123)))-($C$119))/Model!$C$7)^2)/2)/SQRT(2*PI()))-(((Model!$C$5*(($C130)+Model!$C$6*(G$123)))-($C$120))*NORMSDIST(((Model!$C$5*(($C130)+Model!$C$6*(G$123)))-($C$120))/Model!$C$7)+Model!$C$7*EXP(-((((Model!$C$5*(($C130)+Model!$C$6*(G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804.779092038154</v>
      </c>
      <c r="O130" s="27" t="n">
        <f aca="false">$C$118+$C$114*((Model!$C$5*(($C130)+Model!$C$6*(H$123)))-(Model!$C$5*(($C$116)+Model!$C$6*($C$117)))-$C$115*(((((Model!$C$5*(($C130)+Model!$C$6*(H$123)))-($C$119))*NORMSDIST(((Model!$C$5*(($C130)+Model!$C$6*(H$123)))-($C$119))/Model!$C$7)+Model!$C$7*EXP(-((((Model!$C$5*(($C130)+Model!$C$6*(H$123)))-($C$119))/Model!$C$7)^2)/2)/SQRT(2*PI()))-(((Model!$C$5*(($C130)+Model!$C$6*(H$123)))-($C$120))*NORMSDIST(((Model!$C$5*(($C130)+Model!$C$6*(H$123)))-($C$120))/Model!$C$7)+Model!$C$7*EXP(-((((Model!$C$5*(($C130)+Model!$C$6*(H$123)))-($C$120))/Model!$C$7)^2)/2)/SQRT(2*PI())))-((((Model!$C$5*(($C$116)+Model!$C$6*($C$117)))-($C$119))*NORMSDIST(((Model!$C$5*(($C$116)+Model!$C$6*($C$117)))-($C$119))/Model!$C$7)+Model!$C$7*EXP(-((((Model!$C$5*(($C$116)+Model!$C$6*($C$117)))-($C$119))/Model!$C$7)^2)/2)/SQRT(2*PI()))-(((Model!$C$5*(($C$116)+Model!$C$6*($C$117)))-($C$120))*NORMSDIST(((Model!$C$5*(($C$116)+Model!$C$6*($C$117)))-($C$120))/Model!$C$7)+Model!$C$7*EXP(-((((Model!$C$5*(($C$116)+Model!$C$6*($C$117)))-($C$120))/Model!$C$7)^2)/2)/SQRT(2*PI())))))</f>
        <v>810.191530036592</v>
      </c>
      <c r="Q130" s="39" t="n">
        <f aca="false">C130</f>
        <v>36</v>
      </c>
      <c r="R130" s="48" t="n">
        <f aca="false">K130-D130</f>
        <v>9.67265609617516</v>
      </c>
      <c r="S130" s="48" t="n">
        <f aca="false">L130-E130</f>
        <v>7.44112002040515</v>
      </c>
      <c r="T130" s="48" t="n">
        <f aca="false">M130-F130</f>
        <v>4.83932484658669</v>
      </c>
      <c r="U130" s="48" t="n">
        <f aca="false">N130-G130</f>
        <v>2.77909203815375</v>
      </c>
      <c r="V130" s="48" t="n">
        <f aca="false">O130-H130</f>
        <v>3.19153003659233</v>
      </c>
    </row>
    <row r="131" customFormat="false" ht="15" hidden="false" customHeight="false" outlineLevel="0" collapsed="false">
      <c r="B131" s="49" t="s">
        <v>146</v>
      </c>
      <c r="C131" s="50" t="n">
        <f aca="false">($C$118+$C$114*(1-$C$115)*Model!$C$5*((C124-$C$116)+(D123-$C$117))-D124)^2+($C$118+$C$114*(1-$C$115)*Model!$C$5*((C124-$C$116)+(E123-$C$117))-E124)^2+($C$118+$C$114*(1-$C$115)*Model!$C$5*((C124-$C$116)+(F123-$C$117))-F124)^2+($C$118+$C$114*(1-$C$115)*Model!$C$5*((C124-$C$116)+(G123-$C$117))-G124)^2+($C$118+$C$114*(1-$C$115)*Model!$C$5*((C124-$C$116)+(H123-$C$117))-H124)^2+($C$118+$C$114*(1-$C$115)*Model!$C$5*((C125-$C$116)+(D123-$C$117))-D125)^2+($C$118+$C$114*(1-$C$115)*Model!$C$5*((C125-$C$116)+(E123-$C$117))-E125)^2+($C$118+$C$114*(1-$C$115)*Model!$C$5*((C125-$C$116)+(F123-$C$117))-F125)^2+($C$118+$C$114*(1-$C$115)*Model!$C$5*((C125-$C$116)+(G123-$C$117))-G125)^2+($C$118+$C$114*(1-$C$115)*Model!$C$5*((C125-$C$116)+(H123-$C$117))-H125)^2+($C$118+$C$114*(1-$C$115)*Model!$C$5*((C126-$C$116)+(D123-$C$117))-D126)^2+($C$118+$C$114*(1-$C$115)*Model!$C$5*((C126-$C$116)+(E123-$C$117))-E126)^2+($C$118+$C$114*(1-$C$115)*Model!$C$5*((C126-$C$116)+(F123-$C$117))-F126)^2+($C$118+$C$114*(1-$C$115)*Model!$C$5*((C126-$C$116)+(G123-$C$117))-G126)^2+($C$118+$C$114*(1-$C$115)*Model!$C$5*((C126-$C$116)+(H123-$C$117))-H126)^2+($C$118+$C$114*(1-$C$115)*Model!$C$5*((C127-$C$116)+(D123-$C$117))-D127)^2+($C$118+$C$114*(1-$C$115)*Model!$C$5*((C127-$C$116)+(E123-$C$117))-E127)^2+($C$118+$C$114*(1-$C$115)*Model!$C$5*((C127-$C$116)+(F123-$C$117))-F127)^2+($C$118+$C$114*(1-$C$115)*Model!$C$5*((C127-$C$116)+(G123-$C$117))-G127)^2+($C$118+$C$114*(1-$C$115)*Model!$C$5*((C127-$C$116)+(H123-$C$117))-H127)^2+($C$118+$C$114*(1-$C$115)*Model!$C$5*((C128-$C$116)+(D123-$C$117))-D128)^2+($C$118+$C$114*(1-$C$115)*Model!$C$5*((C128-$C$116)+(E123-$C$117))-E128)^2+($C$118+$C$114*(1-$C$115)*Model!$C$5*((C128-$C$116)+(F123-$C$117))-F128)^2+($C$118+$C$114*(1-$C$115)*Model!$C$5*((C128-$C$116)+(G123-$C$117))-G128)^2+($C$118+$C$114*(1-$C$115)*Model!$C$5*((C128-$C$116)+(H123-$C$117))-H128)^2+($C$118+$C$114*(1-$C$115)*Model!$C$5*((C129-$C$116)+(D123-$C$117))-D129)^2+($C$118+$C$114*(1-$C$115)*Model!$C$5*((C129-$C$116)+(E123-$C$117))-E129)^2+($C$118+$C$114*(1-$C$115)*Model!$C$5*((C129-$C$116)+(F123-$C$117))-F129)^2+($C$118+$C$114*(1-$C$115)*Model!$C$5*((C129-$C$116)+(G123-$C$117))-G129)^2+($C$118+$C$114*(1-$C$115)*Model!$C$5*((C129-$C$116)+(H123-$C$117))-H129)^2+($C$118+$C$114*(1-$C$115)*Model!$C$5*((C130-$C$116)+(D123-$C$117))-D130)^2+($C$118+$C$114*(1-$C$115)*Model!$C$5*((C130-$C$116)+(E123-$C$117))-E130)^2+($C$118+$C$114*(1-$C$115)*Model!$C$5*((C130-$C$116)+(F123-$C$117))-F130)^2+($C$118+$C$114*(1-$C$115)*Model!$C$5*((C130-$C$116)+(G123-$C$117))-G130)^2+($C$118+$C$114*(1-$C$115)*Model!$C$5*((C130-$C$116)+(H123-$C$117))-H130)^2</f>
        <v>8841.65633333332</v>
      </c>
    </row>
    <row r="134" customFormat="false" ht="15" hidden="false" customHeight="false" outlineLevel="0" collapsed="false">
      <c r="B134" s="42" t="s">
        <v>129</v>
      </c>
      <c r="C134" s="43" t="s">
        <v>151</v>
      </c>
    </row>
    <row r="135" customFormat="false" ht="15" hidden="false" customHeight="false" outlineLevel="0" collapsed="false">
      <c r="B135" s="4" t="s">
        <v>114</v>
      </c>
      <c r="C135" s="33" t="s">
        <v>121</v>
      </c>
    </row>
    <row r="136" customFormat="false" ht="15" hidden="false" customHeight="false" outlineLevel="0" collapsed="false">
      <c r="B136" s="4" t="s">
        <v>135</v>
      </c>
      <c r="C136" s="6" t="n">
        <v>10</v>
      </c>
    </row>
    <row r="137" customFormat="false" ht="15" hidden="false" customHeight="false" outlineLevel="0" collapsed="false">
      <c r="B137" s="4" t="s">
        <v>136</v>
      </c>
      <c r="C137" s="11" t="n">
        <f aca="false">C136/12</f>
        <v>0.833333333333333</v>
      </c>
    </row>
    <row r="138" customFormat="false" ht="15" hidden="false" customHeight="false" outlineLevel="0" collapsed="false">
      <c r="B138" s="4" t="s">
        <v>52</v>
      </c>
      <c r="C138" s="15" t="n">
        <v>0.77</v>
      </c>
    </row>
    <row r="139" customFormat="false" ht="15" hidden="false" customHeight="false" outlineLevel="0" collapsed="false">
      <c r="B139" s="4" t="s">
        <v>137</v>
      </c>
      <c r="C139" s="7" t="n">
        <v>71</v>
      </c>
    </row>
    <row r="140" customFormat="false" ht="15" hidden="false" customHeight="false" outlineLevel="0" collapsed="false">
      <c r="B140" s="4" t="s">
        <v>138</v>
      </c>
      <c r="C140" s="7" t="n">
        <v>26.5</v>
      </c>
    </row>
    <row r="141" customFormat="false" ht="15" hidden="false" customHeight="false" outlineLevel="0" collapsed="false">
      <c r="B141" s="4" t="s">
        <v>139</v>
      </c>
      <c r="C141" s="18" t="n">
        <f aca="false">INDEX(D147:H153,MATCH(C139,C147:C153,0),MATCH(C140,D146:H146,0))</f>
        <v>846</v>
      </c>
    </row>
    <row r="142" customFormat="false" ht="15" hidden="false" customHeight="false" outlineLevel="0" collapsed="false">
      <c r="B142" s="4" t="s">
        <v>140</v>
      </c>
      <c r="C142" s="18" t="n">
        <f aca="false">INDEX($C$6:$C$8,MATCH(C135,$B$6:$B$8,0))</f>
        <v>691</v>
      </c>
    </row>
    <row r="143" customFormat="false" ht="15" hidden="false" customHeight="false" outlineLevel="0" collapsed="false">
      <c r="B143" s="4" t="s">
        <v>141</v>
      </c>
      <c r="C143" s="18" t="n">
        <f aca="false">INDEX($D$6:$D$8,MATCH(C135,$B$6:$B$8,0))</f>
        <v>1299</v>
      </c>
    </row>
    <row r="145" customFormat="false" ht="15" hidden="false" customHeight="false" outlineLevel="0" collapsed="false">
      <c r="C145" s="3" t="s">
        <v>142</v>
      </c>
      <c r="J145" s="3" t="s">
        <v>143</v>
      </c>
      <c r="Q145" s="3" t="s">
        <v>144</v>
      </c>
    </row>
    <row r="146" customFormat="false" ht="15" hidden="false" customHeight="false" outlineLevel="0" collapsed="false">
      <c r="C146" s="44" t="s">
        <v>145</v>
      </c>
      <c r="D146" s="45" t="n">
        <v>16.5</v>
      </c>
      <c r="E146" s="45" t="n">
        <v>21.5</v>
      </c>
      <c r="F146" s="45" t="n">
        <v>26.5</v>
      </c>
      <c r="G146" s="45" t="n">
        <v>31.5</v>
      </c>
      <c r="H146" s="45" t="n">
        <v>36.5</v>
      </c>
      <c r="J146" s="44" t="s">
        <v>145</v>
      </c>
      <c r="K146" s="46" t="n">
        <f aca="false">D146</f>
        <v>16.5</v>
      </c>
      <c r="L146" s="46" t="n">
        <f aca="false">E146</f>
        <v>21.5</v>
      </c>
      <c r="M146" s="46" t="n">
        <f aca="false">F146</f>
        <v>26.5</v>
      </c>
      <c r="N146" s="46" t="n">
        <f aca="false">G146</f>
        <v>31.5</v>
      </c>
      <c r="O146" s="46" t="n">
        <f aca="false">H146</f>
        <v>36.5</v>
      </c>
      <c r="Q146" s="44" t="s">
        <v>145</v>
      </c>
      <c r="R146" s="46" t="n">
        <f aca="false">D146</f>
        <v>16.5</v>
      </c>
      <c r="S146" s="46" t="n">
        <f aca="false">E146</f>
        <v>21.5</v>
      </c>
      <c r="T146" s="46" t="n">
        <f aca="false">F146</f>
        <v>26.5</v>
      </c>
      <c r="U146" s="46" t="n">
        <f aca="false">G146</f>
        <v>31.5</v>
      </c>
      <c r="V146" s="46" t="n">
        <f aca="false">H146</f>
        <v>36.5</v>
      </c>
    </row>
    <row r="147" customFormat="false" ht="15" hidden="false" customHeight="false" outlineLevel="0" collapsed="false">
      <c r="C147" s="6" t="n">
        <v>101</v>
      </c>
      <c r="D147" s="47" t="n">
        <v>867</v>
      </c>
      <c r="E147" s="47" t="n">
        <v>884</v>
      </c>
      <c r="F147" s="47" t="n">
        <v>901</v>
      </c>
      <c r="G147" s="47" t="n">
        <v>916</v>
      </c>
      <c r="H147" s="47" t="n">
        <v>935</v>
      </c>
      <c r="J147" s="39" t="n">
        <f aca="false">C147</f>
        <v>101</v>
      </c>
      <c r="K147" s="27" t="n">
        <f aca="false">$C$141+$C$137*((Model!$C$5*(($C147)+Model!$C$6*(D$146)))-(Model!$C$5*(($C$139)+Model!$C$6*($C$140)))-$C$138*(((((Model!$C$5*(($C147)+Model!$C$6*(D$146)))-($C$142))*NORMSDIST(((Model!$C$5*(($C147)+Model!$C$6*(D$146)))-($C$142))/Model!$C$7)+Model!$C$7*EXP(-((((Model!$C$5*(($C147)+Model!$C$6*(D$146)))-($C$142))/Model!$C$7)^2)/2)/SQRT(2*PI()))-(((Model!$C$5*(($C147)+Model!$C$6*(D$146)))-($C$143))*NORMSDIST(((Model!$C$5*(($C147)+Model!$C$6*(D$146)))-($C$143))/Model!$C$7)+Model!$C$7*EXP(-((((Model!$C$5*(($C147)+Model!$C$6*(D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890.33445460857</v>
      </c>
      <c r="L147" s="27" t="n">
        <f aca="false">$C$141+$C$137*((Model!$C$5*(($C147)+Model!$C$6*(E$146)))-(Model!$C$5*(($C$139)+Model!$C$6*($C$140)))-$C$138*(((((Model!$C$5*(($C147)+Model!$C$6*(E$146)))-($C$142))*NORMSDIST(((Model!$C$5*(($C147)+Model!$C$6*(E$146)))-($C$142))/Model!$C$7)+Model!$C$7*EXP(-((((Model!$C$5*(($C147)+Model!$C$6*(E$146)))-($C$142))/Model!$C$7)^2)/2)/SQRT(2*PI()))-(((Model!$C$5*(($C147)+Model!$C$6*(E$146)))-($C$143))*NORMSDIST(((Model!$C$5*(($C147)+Model!$C$6*(E$146)))-($C$143))/Model!$C$7)+Model!$C$7*EXP(-((((Model!$C$5*(($C147)+Model!$C$6*(E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901.854070670041</v>
      </c>
      <c r="M147" s="27" t="n">
        <f aca="false">$C$141+$C$137*((Model!$C$5*(($C147)+Model!$C$6*(F$146)))-(Model!$C$5*(($C$139)+Model!$C$6*($C$140)))-$C$138*(((((Model!$C$5*(($C147)+Model!$C$6*(F$146)))-($C$142))*NORMSDIST(((Model!$C$5*(($C147)+Model!$C$6*(F$146)))-($C$142))/Model!$C$7)+Model!$C$7*EXP(-((((Model!$C$5*(($C147)+Model!$C$6*(F$146)))-($C$142))/Model!$C$7)^2)/2)/SQRT(2*PI()))-(((Model!$C$5*(($C147)+Model!$C$6*(F$146)))-($C$143))*NORMSDIST(((Model!$C$5*(($C147)+Model!$C$6*(F$146)))-($C$143))/Model!$C$7)+Model!$C$7*EXP(-((((Model!$C$5*(($C147)+Model!$C$6*(F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913.317370226958</v>
      </c>
      <c r="N147" s="27" t="n">
        <f aca="false">$C$141+$C$137*((Model!$C$5*(($C147)+Model!$C$6*(G$146)))-(Model!$C$5*(($C$139)+Model!$C$6*($C$140)))-$C$138*(((((Model!$C$5*(($C147)+Model!$C$6*(G$146)))-($C$142))*NORMSDIST(((Model!$C$5*(($C147)+Model!$C$6*(G$146)))-($C$142))/Model!$C$7)+Model!$C$7*EXP(-((((Model!$C$5*(($C147)+Model!$C$6*(G$146)))-($C$142))/Model!$C$7)^2)/2)/SQRT(2*PI()))-(((Model!$C$5*(($C147)+Model!$C$6*(G$146)))-($C$143))*NORMSDIST(((Model!$C$5*(($C147)+Model!$C$6*(G$146)))-($C$143))/Model!$C$7)+Model!$C$7*EXP(-((((Model!$C$5*(($C147)+Model!$C$6*(G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925.318571731384</v>
      </c>
      <c r="O147" s="27" t="n">
        <f aca="false">$C$141+$C$137*((Model!$C$5*(($C147)+Model!$C$6*(H$146)))-(Model!$C$5*(($C$139)+Model!$C$6*($C$140)))-$C$138*(((((Model!$C$5*(($C147)+Model!$C$6*(H$146)))-($C$142))*NORMSDIST(((Model!$C$5*(($C147)+Model!$C$6*(H$146)))-($C$142))/Model!$C$7)+Model!$C$7*EXP(-((((Model!$C$5*(($C147)+Model!$C$6*(H$146)))-($C$142))/Model!$C$7)^2)/2)/SQRT(2*PI()))-(((Model!$C$5*(($C147)+Model!$C$6*(H$146)))-($C$143))*NORMSDIST(((Model!$C$5*(($C147)+Model!$C$6*(H$146)))-($C$143))/Model!$C$7)+Model!$C$7*EXP(-((((Model!$C$5*(($C147)+Model!$C$6*(H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938.442708752937</v>
      </c>
      <c r="Q147" s="39" t="n">
        <f aca="false">C147</f>
        <v>101</v>
      </c>
      <c r="R147" s="48" t="n">
        <f aca="false">K147-D147</f>
        <v>23.3344546085697</v>
      </c>
      <c r="S147" s="48" t="n">
        <f aca="false">L147-E147</f>
        <v>17.8540706700412</v>
      </c>
      <c r="T147" s="48" t="n">
        <f aca="false">M147-F147</f>
        <v>12.3173702269576</v>
      </c>
      <c r="U147" s="48" t="n">
        <f aca="false">N147-G147</f>
        <v>9.31857173138405</v>
      </c>
      <c r="V147" s="48" t="n">
        <f aca="false">O147-H147</f>
        <v>3.44270875293705</v>
      </c>
    </row>
    <row r="148" customFormat="false" ht="15" hidden="false" customHeight="false" outlineLevel="0" collapsed="false">
      <c r="C148" s="6" t="n">
        <v>91</v>
      </c>
      <c r="D148" s="47" t="n">
        <v>851</v>
      </c>
      <c r="E148" s="47" t="n">
        <v>868</v>
      </c>
      <c r="F148" s="47" t="n">
        <v>885</v>
      </c>
      <c r="G148" s="47" t="n">
        <v>900</v>
      </c>
      <c r="H148" s="47" t="n">
        <v>917</v>
      </c>
      <c r="J148" s="39" t="n">
        <f aca="false">C148</f>
        <v>91</v>
      </c>
      <c r="K148" s="27" t="n">
        <f aca="false">$C$141+$C$137*((Model!$C$5*(($C148)+Model!$C$6*(D$146)))-(Model!$C$5*(($C$139)+Model!$C$6*($C$140)))-$C$138*(((((Model!$C$5*(($C148)+Model!$C$6*(D$146)))-($C$142))*NORMSDIST(((Model!$C$5*(($C148)+Model!$C$6*(D$146)))-($C$142))/Model!$C$7)+Model!$C$7*EXP(-((((Model!$C$5*(($C148)+Model!$C$6*(D$146)))-($C$142))/Model!$C$7)^2)/2)/SQRT(2*PI()))-(((Model!$C$5*(($C148)+Model!$C$6*(D$146)))-($C$143))*NORMSDIST(((Model!$C$5*(($C148)+Model!$C$6*(D$146)))-($C$143))/Model!$C$7)+Model!$C$7*EXP(-((((Model!$C$5*(($C148)+Model!$C$6*(D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868.41055440064</v>
      </c>
      <c r="L148" s="27" t="n">
        <f aca="false">$C$141+$C$137*((Model!$C$5*(($C148)+Model!$C$6*(E$146)))-(Model!$C$5*(($C$139)+Model!$C$6*($C$140)))-$C$138*(((((Model!$C$5*(($C148)+Model!$C$6*(E$146)))-($C$142))*NORMSDIST(((Model!$C$5*(($C148)+Model!$C$6*(E$146)))-($C$142))/Model!$C$7)+Model!$C$7*EXP(-((((Model!$C$5*(($C148)+Model!$C$6*(E$146)))-($C$142))/Model!$C$7)^2)/2)/SQRT(2*PI()))-(((Model!$C$5*(($C148)+Model!$C$6*(E$146)))-($C$143))*NORMSDIST(((Model!$C$5*(($C148)+Model!$C$6*(E$146)))-($C$143))/Model!$C$7)+Model!$C$7*EXP(-((((Model!$C$5*(($C148)+Model!$C$6*(E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881.435236643822</v>
      </c>
      <c r="M148" s="27" t="n">
        <f aca="false">$C$141+$C$137*((Model!$C$5*(($C148)+Model!$C$6*(F$146)))-(Model!$C$5*(($C$139)+Model!$C$6*($C$140)))-$C$138*(((((Model!$C$5*(($C148)+Model!$C$6*(F$146)))-($C$142))*NORMSDIST(((Model!$C$5*(($C148)+Model!$C$6*(F$146)))-($C$142))/Model!$C$7)+Model!$C$7*EXP(-((((Model!$C$5*(($C148)+Model!$C$6*(F$146)))-($C$142))/Model!$C$7)^2)/2)/SQRT(2*PI()))-(((Model!$C$5*(($C148)+Model!$C$6*(F$146)))-($C$143))*NORMSDIST(((Model!$C$5*(($C148)+Model!$C$6*(F$146)))-($C$143))/Model!$C$7)+Model!$C$7*EXP(-((((Model!$C$5*(($C148)+Model!$C$6*(F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893.378261517517</v>
      </c>
      <c r="N148" s="27" t="n">
        <f aca="false">$C$141+$C$137*((Model!$C$5*(($C148)+Model!$C$6*(G$146)))-(Model!$C$5*(($C$139)+Model!$C$6*($C$140)))-$C$138*(((((Model!$C$5*(($C148)+Model!$C$6*(G$146)))-($C$142))*NORMSDIST(((Model!$C$5*(($C148)+Model!$C$6*(G$146)))-($C$142))/Model!$C$7)+Model!$C$7*EXP(-((((Model!$C$5*(($C148)+Model!$C$6*(G$146)))-($C$142))/Model!$C$7)^2)/2)/SQRT(2*PI()))-(((Model!$C$5*(($C148)+Model!$C$6*(G$146)))-($C$143))*NORMSDIST(((Model!$C$5*(($C148)+Model!$C$6*(G$146)))-($C$143))/Model!$C$7)+Model!$C$7*EXP(-((((Model!$C$5*(($C148)+Model!$C$6*(G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904.825798344286</v>
      </c>
      <c r="O148" s="27" t="n">
        <f aca="false">$C$141+$C$137*((Model!$C$5*(($C148)+Model!$C$6*(H$146)))-(Model!$C$5*(($C$139)+Model!$C$6*($C$140)))-$C$138*(((((Model!$C$5*(($C148)+Model!$C$6*(H$146)))-($C$142))*NORMSDIST(((Model!$C$5*(($C148)+Model!$C$6*(H$146)))-($C$142))/Model!$C$7)+Model!$C$7*EXP(-((((Model!$C$5*(($C148)+Model!$C$6*(H$146)))-($C$142))/Model!$C$7)^2)/2)/SQRT(2*PI()))-(((Model!$C$5*(($C148)+Model!$C$6*(H$146)))-($C$143))*NORMSDIST(((Model!$C$5*(($C148)+Model!$C$6*(H$146)))-($C$143))/Model!$C$7)+Model!$C$7*EXP(-((((Model!$C$5*(($C148)+Model!$C$6*(H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916.3722890095</v>
      </c>
      <c r="Q148" s="39" t="n">
        <f aca="false">C148</f>
        <v>91</v>
      </c>
      <c r="R148" s="48" t="n">
        <f aca="false">K148-D148</f>
        <v>17.4105544006404</v>
      </c>
      <c r="S148" s="48" t="n">
        <f aca="false">L148-E148</f>
        <v>13.4352366438219</v>
      </c>
      <c r="T148" s="48" t="n">
        <f aca="false">M148-F148</f>
        <v>8.37826151751722</v>
      </c>
      <c r="U148" s="48" t="n">
        <f aca="false">N148-G148</f>
        <v>4.82579834428623</v>
      </c>
      <c r="V148" s="48" t="n">
        <f aca="false">O148-H148</f>
        <v>-0.627710990500418</v>
      </c>
    </row>
    <row r="149" customFormat="false" ht="15" hidden="false" customHeight="false" outlineLevel="0" collapsed="false">
      <c r="C149" s="6" t="n">
        <v>81</v>
      </c>
      <c r="D149" s="47" t="n">
        <v>833</v>
      </c>
      <c r="E149" s="47" t="n">
        <v>851</v>
      </c>
      <c r="F149" s="47" t="n">
        <v>869</v>
      </c>
      <c r="G149" s="47" t="n">
        <v>885</v>
      </c>
      <c r="H149" s="47" t="n">
        <v>901</v>
      </c>
      <c r="J149" s="39" t="n">
        <f aca="false">C149</f>
        <v>81</v>
      </c>
      <c r="K149" s="27" t="n">
        <f aca="false">$C$141+$C$137*((Model!$C$5*(($C149)+Model!$C$6*(D$146)))-(Model!$C$5*(($C$139)+Model!$C$6*($C$140)))-$C$138*(((((Model!$C$5*(($C149)+Model!$C$6*(D$146)))-($C$142))*NORMSDIST(((Model!$C$5*(($C149)+Model!$C$6*(D$146)))-($C$142))/Model!$C$7)+Model!$C$7*EXP(-((((Model!$C$5*(($C149)+Model!$C$6*(D$146)))-($C$142))/Model!$C$7)^2)/2)/SQRT(2*PI()))-(((Model!$C$5*(($C149)+Model!$C$6*(D$146)))-($C$143))*NORMSDIST(((Model!$C$5*(($C149)+Model!$C$6*(D$146)))-($C$143))/Model!$C$7)+Model!$C$7*EXP(-((((Model!$C$5*(($C149)+Model!$C$6*(D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841.551255841081</v>
      </c>
      <c r="L149" s="27" t="n">
        <f aca="false">$C$141+$C$137*((Model!$C$5*(($C149)+Model!$C$6*(E$146)))-(Model!$C$5*(($C$139)+Model!$C$6*($C$140)))-$C$138*(((((Model!$C$5*(($C149)+Model!$C$6*(E$146)))-($C$142))*NORMSDIST(((Model!$C$5*(($C149)+Model!$C$6*(E$146)))-($C$142))/Model!$C$7)+Model!$C$7*EXP(-((((Model!$C$5*(($C149)+Model!$C$6*(E$146)))-($C$142))/Model!$C$7)^2)/2)/SQRT(2*PI()))-(((Model!$C$5*(($C149)+Model!$C$6*(E$146)))-($C$143))*NORMSDIST(((Model!$C$5*(($C149)+Model!$C$6*(E$146)))-($C$143))/Model!$C$7)+Model!$C$7*EXP(-((((Model!$C$5*(($C149)+Model!$C$6*(E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857.758032048672</v>
      </c>
      <c r="M149" s="27" t="n">
        <f aca="false">$C$141+$C$137*((Model!$C$5*(($C149)+Model!$C$6*(F$146)))-(Model!$C$5*(($C$139)+Model!$C$6*($C$140)))-$C$138*(((((Model!$C$5*(($C149)+Model!$C$6*(F$146)))-($C$142))*NORMSDIST(((Model!$C$5*(($C149)+Model!$C$6*(F$146)))-($C$142))/Model!$C$7)+Model!$C$7*EXP(-((((Model!$C$5*(($C149)+Model!$C$6*(F$146)))-($C$142))/Model!$C$7)^2)/2)/SQRT(2*PI()))-(((Model!$C$5*(($C149)+Model!$C$6*(F$146)))-($C$143))*NORMSDIST(((Model!$C$5*(($C149)+Model!$C$6*(F$146)))-($C$143))/Model!$C$7)+Model!$C$7*EXP(-((((Model!$C$5*(($C149)+Model!$C$6*(F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871.944586832455</v>
      </c>
      <c r="N149" s="27" t="n">
        <f aca="false">$C$141+$C$137*((Model!$C$5*(($C149)+Model!$C$6*(G$146)))-(Model!$C$5*(($C$139)+Model!$C$6*($C$140)))-$C$138*(((((Model!$C$5*(($C149)+Model!$C$6*(G$146)))-($C$142))*NORMSDIST(((Model!$C$5*(($C149)+Model!$C$6*(G$146)))-($C$142))/Model!$C$7)+Model!$C$7*EXP(-((((Model!$C$5*(($C149)+Model!$C$6*(G$146)))-($C$142))/Model!$C$7)^2)/2)/SQRT(2*PI()))-(((Model!$C$5*(($C149)+Model!$C$6*(G$146)))-($C$143))*NORMSDIST(((Model!$C$5*(($C149)+Model!$C$6*(G$146)))-($C$143))/Model!$C$7)+Model!$C$7*EXP(-((((Model!$C$5*(($C149)+Model!$C$6*(G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884.631611119157</v>
      </c>
      <c r="O149" s="27" t="n">
        <f aca="false">$C$141+$C$137*((Model!$C$5*(($C149)+Model!$C$6*(H$146)))-(Model!$C$5*(($C$139)+Model!$C$6*($C$140)))-$C$138*(((((Model!$C$5*(($C149)+Model!$C$6*(H$146)))-($C$142))*NORMSDIST(((Model!$C$5*(($C149)+Model!$C$6*(H$146)))-($C$142))/Model!$C$7)+Model!$C$7*EXP(-((((Model!$C$5*(($C149)+Model!$C$6*(H$146)))-($C$142))/Model!$C$7)^2)/2)/SQRT(2*PI()))-(((Model!$C$5*(($C149)+Model!$C$6*(H$146)))-($C$143))*NORMSDIST(((Model!$C$5*(($C149)+Model!$C$6*(H$146)))-($C$143))/Model!$C$7)+Model!$C$7*EXP(-((((Model!$C$5*(($C149)+Model!$C$6*(H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896.388311608379</v>
      </c>
      <c r="Q149" s="39" t="n">
        <f aca="false">C149</f>
        <v>81</v>
      </c>
      <c r="R149" s="48" t="n">
        <f aca="false">K149-D149</f>
        <v>8.55125584108066</v>
      </c>
      <c r="S149" s="48" t="n">
        <f aca="false">L149-E149</f>
        <v>6.75803204867145</v>
      </c>
      <c r="T149" s="48" t="n">
        <f aca="false">M149-F149</f>
        <v>2.94458683245512</v>
      </c>
      <c r="U149" s="48" t="n">
        <f aca="false">N149-G149</f>
        <v>-0.368388880842986</v>
      </c>
      <c r="V149" s="48" t="n">
        <f aca="false">O149-H149</f>
        <v>-4.61168839162144</v>
      </c>
    </row>
    <row r="150" customFormat="false" ht="15" hidden="false" customHeight="false" outlineLevel="0" collapsed="false">
      <c r="C150" s="6" t="n">
        <v>71</v>
      </c>
      <c r="D150" s="47" t="n">
        <v>795</v>
      </c>
      <c r="E150" s="47" t="n">
        <v>823</v>
      </c>
      <c r="F150" s="47" t="n">
        <v>846</v>
      </c>
      <c r="G150" s="47" t="n">
        <v>863</v>
      </c>
      <c r="H150" s="47" t="n">
        <v>880</v>
      </c>
      <c r="J150" s="39" t="n">
        <f aca="false">C150</f>
        <v>71</v>
      </c>
      <c r="K150" s="27" t="n">
        <f aca="false">$C$141+$C$137*((Model!$C$5*(($C150)+Model!$C$6*(D$146)))-(Model!$C$5*(($C$139)+Model!$C$6*($C$140)))-$C$138*(((((Model!$C$5*(($C150)+Model!$C$6*(D$146)))-($C$142))*NORMSDIST(((Model!$C$5*(($C150)+Model!$C$6*(D$146)))-($C$142))/Model!$C$7)+Model!$C$7*EXP(-((((Model!$C$5*(($C150)+Model!$C$6*(D$146)))-($C$142))/Model!$C$7)^2)/2)/SQRT(2*PI()))-(((Model!$C$5*(($C150)+Model!$C$6*(D$146)))-($C$143))*NORMSDIST(((Model!$C$5*(($C150)+Model!$C$6*(D$146)))-($C$143))/Model!$C$7)+Model!$C$7*EXP(-((((Model!$C$5*(($C150)+Model!$C$6*(D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807.34603823775</v>
      </c>
      <c r="L150" s="27" t="n">
        <f aca="false">$C$141+$C$137*((Model!$C$5*(($C150)+Model!$C$6*(E$146)))-(Model!$C$5*(($C$139)+Model!$C$6*($C$140)))-$C$138*(((((Model!$C$5*(($C150)+Model!$C$6*(E$146)))-($C$142))*NORMSDIST(((Model!$C$5*(($C150)+Model!$C$6*(E$146)))-($C$142))/Model!$C$7)+Model!$C$7*EXP(-((((Model!$C$5*(($C150)+Model!$C$6*(E$146)))-($C$142))/Model!$C$7)^2)/2)/SQRT(2*PI()))-(((Model!$C$5*(($C150)+Model!$C$6*(E$146)))-($C$143))*NORMSDIST(((Model!$C$5*(($C150)+Model!$C$6*(E$146)))-($C$143))/Model!$C$7)+Model!$C$7*EXP(-((((Model!$C$5*(($C150)+Model!$C$6*(E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828.016065930159</v>
      </c>
      <c r="M150" s="27" t="n">
        <f aca="false">$C$141+$C$137*((Model!$C$5*(($C150)+Model!$C$6*(F$146)))-(Model!$C$5*(($C$139)+Model!$C$6*($C$140)))-$C$138*(((((Model!$C$5*(($C150)+Model!$C$6*(F$146)))-($C$142))*NORMSDIST(((Model!$C$5*(($C150)+Model!$C$6*(F$146)))-($C$142))/Model!$C$7)+Model!$C$7*EXP(-((((Model!$C$5*(($C150)+Model!$C$6*(F$146)))-($C$142))/Model!$C$7)^2)/2)/SQRT(2*PI()))-(((Model!$C$5*(($C150)+Model!$C$6*(F$146)))-($C$143))*NORMSDIST(((Model!$C$5*(($C150)+Model!$C$6*(F$146)))-($C$143))/Model!$C$7)+Model!$C$7*EXP(-((((Model!$C$5*(($C150)+Model!$C$6*(F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846</v>
      </c>
      <c r="N150" s="27" t="n">
        <f aca="false">$C$141+$C$137*((Model!$C$5*(($C150)+Model!$C$6*(G$146)))-(Model!$C$5*(($C$139)+Model!$C$6*($C$140)))-$C$138*(((((Model!$C$5*(($C150)+Model!$C$6*(G$146)))-($C$142))*NORMSDIST(((Model!$C$5*(($C150)+Model!$C$6*(G$146)))-($C$142))/Model!$C$7)+Model!$C$7*EXP(-((((Model!$C$5*(($C150)+Model!$C$6*(G$146)))-($C$142))/Model!$C$7)^2)/2)/SQRT(2*PI()))-(((Model!$C$5*(($C150)+Model!$C$6*(G$146)))-($C$143))*NORMSDIST(((Model!$C$5*(($C150)+Model!$C$6*(G$146)))-($C$143))/Model!$C$7)+Model!$C$7*EXP(-((((Model!$C$5*(($C150)+Model!$C$6*(G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861.633754292203</v>
      </c>
      <c r="O150" s="27" t="n">
        <f aca="false">$C$141+$C$137*((Model!$C$5*(($C150)+Model!$C$6*(H$146)))-(Model!$C$5*(($C$139)+Model!$C$6*($C$140)))-$C$138*(((((Model!$C$5*(($C150)+Model!$C$6*(H$146)))-($C$142))*NORMSDIST(((Model!$C$5*(($C150)+Model!$C$6*(H$146)))-($C$142))/Model!$C$7)+Model!$C$7*EXP(-((((Model!$C$5*(($C150)+Model!$C$6*(H$146)))-($C$142))/Model!$C$7)^2)/2)/SQRT(2*PI()))-(((Model!$C$5*(($C150)+Model!$C$6*(H$146)))-($C$143))*NORMSDIST(((Model!$C$5*(($C150)+Model!$C$6*(H$146)))-($C$143))/Model!$C$7)+Model!$C$7*EXP(-((((Model!$C$5*(($C150)+Model!$C$6*(H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875.376325236059</v>
      </c>
      <c r="Q150" s="39" t="n">
        <f aca="false">C150</f>
        <v>71</v>
      </c>
      <c r="R150" s="48" t="n">
        <f aca="false">K150-D150</f>
        <v>12.3460382377499</v>
      </c>
      <c r="S150" s="48" t="n">
        <f aca="false">L150-E150</f>
        <v>5.01606593015856</v>
      </c>
      <c r="T150" s="48" t="n">
        <f aca="false">M150-F150</f>
        <v>0</v>
      </c>
      <c r="U150" s="48" t="n">
        <f aca="false">N150-G150</f>
        <v>-1.36624570779657</v>
      </c>
      <c r="V150" s="48" t="n">
        <f aca="false">O150-H150</f>
        <v>-4.62367476394059</v>
      </c>
    </row>
    <row r="151" customFormat="false" ht="15" hidden="false" customHeight="false" outlineLevel="0" collapsed="false">
      <c r="C151" s="6" t="n">
        <v>61</v>
      </c>
      <c r="D151" s="47" t="n">
        <v>752</v>
      </c>
      <c r="E151" s="47" t="n">
        <v>773</v>
      </c>
      <c r="F151" s="47" t="n">
        <v>802</v>
      </c>
      <c r="G151" s="47" t="n">
        <v>828</v>
      </c>
      <c r="H151" s="47" t="n">
        <v>849</v>
      </c>
      <c r="J151" s="39" t="n">
        <f aca="false">C151</f>
        <v>61</v>
      </c>
      <c r="K151" s="27" t="n">
        <f aca="false">$C$141+$C$137*((Model!$C$5*(($C151)+Model!$C$6*(D$146)))-(Model!$C$5*(($C$139)+Model!$C$6*($C$140)))-$C$138*(((((Model!$C$5*(($C151)+Model!$C$6*(D$146)))-($C$142))*NORMSDIST(((Model!$C$5*(($C151)+Model!$C$6*(D$146)))-($C$142))/Model!$C$7)+Model!$C$7*EXP(-((((Model!$C$5*(($C151)+Model!$C$6*(D$146)))-($C$142))/Model!$C$7)^2)/2)/SQRT(2*PI()))-(((Model!$C$5*(($C151)+Model!$C$6*(D$146)))-($C$143))*NORMSDIST(((Model!$C$5*(($C151)+Model!$C$6*(D$146)))-($C$143))/Model!$C$7)+Model!$C$7*EXP(-((((Model!$C$5*(($C151)+Model!$C$6*(D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764.586382186696</v>
      </c>
      <c r="L151" s="27" t="n">
        <f aca="false">$C$141+$C$137*((Model!$C$5*(($C151)+Model!$C$6*(E$146)))-(Model!$C$5*(($C$139)+Model!$C$6*($C$140)))-$C$138*(((((Model!$C$5*(($C151)+Model!$C$6*(E$146)))-($C$142))*NORMSDIST(((Model!$C$5*(($C151)+Model!$C$6*(E$146)))-($C$142))/Model!$C$7)+Model!$C$7*EXP(-((((Model!$C$5*(($C151)+Model!$C$6*(E$146)))-($C$142))/Model!$C$7)^2)/2)/SQRT(2*PI()))-(((Model!$C$5*(($C151)+Model!$C$6*(E$146)))-($C$143))*NORMSDIST(((Model!$C$5*(($C151)+Model!$C$6*(E$146)))-($C$143))/Model!$C$7)+Model!$C$7*EXP(-((((Model!$C$5*(($C151)+Model!$C$6*(E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790.233148189712</v>
      </c>
      <c r="M151" s="27" t="n">
        <f aca="false">$C$141+$C$137*((Model!$C$5*(($C151)+Model!$C$6*(F$146)))-(Model!$C$5*(($C$139)+Model!$C$6*($C$140)))-$C$138*(((((Model!$C$5*(($C151)+Model!$C$6*(F$146)))-($C$142))*NORMSDIST(((Model!$C$5*(($C151)+Model!$C$6*(F$146)))-($C$142))/Model!$C$7)+Model!$C$7*EXP(-((((Model!$C$5*(($C151)+Model!$C$6*(F$146)))-($C$142))/Model!$C$7)^2)/2)/SQRT(2*PI()))-(((Model!$C$5*(($C151)+Model!$C$6*(F$146)))-($C$143))*NORMSDIST(((Model!$C$5*(($C151)+Model!$C$6*(F$146)))-($C$143))/Model!$C$7)+Model!$C$7*EXP(-((((Model!$C$5*(($C151)+Model!$C$6*(F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813.010018256366</v>
      </c>
      <c r="N151" s="27" t="n">
        <f aca="false">$C$141+$C$137*((Model!$C$5*(($C151)+Model!$C$6*(G$146)))-(Model!$C$5*(($C$139)+Model!$C$6*($C$140)))-$C$138*(((((Model!$C$5*(($C151)+Model!$C$6*(G$146)))-($C$142))*NORMSDIST(((Model!$C$5*(($C151)+Model!$C$6*(G$146)))-($C$142))/Model!$C$7)+Model!$C$7*EXP(-((((Model!$C$5*(($C151)+Model!$C$6*(G$146)))-($C$142))/Model!$C$7)^2)/2)/SQRT(2*PI()))-(((Model!$C$5*(($C151)+Model!$C$6*(G$146)))-($C$143))*NORMSDIST(((Model!$C$5*(($C151)+Model!$C$6*(G$146)))-($C$143))/Model!$C$7)+Model!$C$7*EXP(-((((Model!$C$5*(($C151)+Model!$C$6*(G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832.955477086529</v>
      </c>
      <c r="O151" s="27" t="n">
        <f aca="false">$C$141+$C$137*((Model!$C$5*(($C151)+Model!$C$6*(H$146)))-(Model!$C$5*(($C$139)+Model!$C$6*($C$140)))-$C$138*(((((Model!$C$5*(($C151)+Model!$C$6*(H$146)))-($C$142))*NORMSDIST(((Model!$C$5*(($C151)+Model!$C$6*(H$146)))-($C$142))/Model!$C$7)+Model!$C$7*EXP(-((((Model!$C$5*(($C151)+Model!$C$6*(H$146)))-($C$142))/Model!$C$7)^2)/2)/SQRT(2*PI()))-(((Model!$C$5*(($C151)+Model!$C$6*(H$146)))-($C$143))*NORMSDIST(((Model!$C$5*(($C151)+Model!$C$6*(H$146)))-($C$143))/Model!$C$7)+Model!$C$7*EXP(-((((Model!$C$5*(($C151)+Model!$C$6*(H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850.288153249038</v>
      </c>
      <c r="Q151" s="39" t="n">
        <f aca="false">C151</f>
        <v>61</v>
      </c>
      <c r="R151" s="48" t="n">
        <f aca="false">K151-D151</f>
        <v>12.5863821866955</v>
      </c>
      <c r="S151" s="48" t="n">
        <f aca="false">L151-E151</f>
        <v>17.2331481897122</v>
      </c>
      <c r="T151" s="48" t="n">
        <f aca="false">M151-F151</f>
        <v>11.0100182563664</v>
      </c>
      <c r="U151" s="48" t="n">
        <f aca="false">N151-G151</f>
        <v>4.95547708652885</v>
      </c>
      <c r="V151" s="48" t="n">
        <f aca="false">O151-H151</f>
        <v>1.28815324903837</v>
      </c>
    </row>
    <row r="152" customFormat="false" ht="15" hidden="false" customHeight="false" outlineLevel="0" collapsed="false">
      <c r="C152" s="6" t="n">
        <v>51</v>
      </c>
      <c r="D152" s="47" t="n">
        <v>722</v>
      </c>
      <c r="E152" s="47" t="n">
        <v>744</v>
      </c>
      <c r="F152" s="47" t="n">
        <v>763</v>
      </c>
      <c r="G152" s="47" t="n">
        <v>786</v>
      </c>
      <c r="H152" s="47" t="n">
        <v>815</v>
      </c>
      <c r="J152" s="39" t="n">
        <f aca="false">C152</f>
        <v>51</v>
      </c>
      <c r="K152" s="27" t="n">
        <f aca="false">$C$141+$C$137*((Model!$C$5*(($C152)+Model!$C$6*(D$146)))-(Model!$C$5*(($C$139)+Model!$C$6*($C$140)))-$C$138*(((((Model!$C$5*(($C152)+Model!$C$6*(D$146)))-($C$142))*NORMSDIST(((Model!$C$5*(($C152)+Model!$C$6*(D$146)))-($C$142))/Model!$C$7)+Model!$C$7*EXP(-((((Model!$C$5*(($C152)+Model!$C$6*(D$146)))-($C$142))/Model!$C$7)^2)/2)/SQRT(2*PI()))-(((Model!$C$5*(($C152)+Model!$C$6*(D$146)))-($C$143))*NORMSDIST(((Model!$C$5*(($C152)+Model!$C$6*(D$146)))-($C$143))/Model!$C$7)+Model!$C$7*EXP(-((((Model!$C$5*(($C152)+Model!$C$6*(D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713.652363436867</v>
      </c>
      <c r="L152" s="27" t="n">
        <f aca="false">$C$141+$C$137*((Model!$C$5*(($C152)+Model!$C$6*(E$146)))-(Model!$C$5*(($C$139)+Model!$C$6*($C$140)))-$C$138*(((((Model!$C$5*(($C152)+Model!$C$6*(E$146)))-($C$142))*NORMSDIST(((Model!$C$5*(($C152)+Model!$C$6*(E$146)))-($C$142))/Model!$C$7)+Model!$C$7*EXP(-((((Model!$C$5*(($C152)+Model!$C$6*(E$146)))-($C$142))/Model!$C$7)^2)/2)/SQRT(2*PI()))-(((Model!$C$5*(($C152)+Model!$C$6*(E$146)))-($C$143))*NORMSDIST(((Model!$C$5*(($C152)+Model!$C$6*(E$146)))-($C$143))/Model!$C$7)+Model!$C$7*EXP(-((((Model!$C$5*(($C152)+Model!$C$6*(E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743.862415538908</v>
      </c>
      <c r="M152" s="27" t="n">
        <f aca="false">$C$141+$C$137*((Model!$C$5*(($C152)+Model!$C$6*(F$146)))-(Model!$C$5*(($C$139)+Model!$C$6*($C$140)))-$C$138*(((((Model!$C$5*(($C152)+Model!$C$6*(F$146)))-($C$142))*NORMSDIST(((Model!$C$5*(($C152)+Model!$C$6*(F$146)))-($C$142))/Model!$C$7)+Model!$C$7*EXP(-((((Model!$C$5*(($C152)+Model!$C$6*(F$146)))-($C$142))/Model!$C$7)^2)/2)/SQRT(2*PI()))-(((Model!$C$5*(($C152)+Model!$C$6*(F$146)))-($C$143))*NORMSDIST(((Model!$C$5*(($C152)+Model!$C$6*(F$146)))-($C$143))/Model!$C$7)+Model!$C$7*EXP(-((((Model!$C$5*(($C152)+Model!$C$6*(F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771.54860229516</v>
      </c>
      <c r="N152" s="27" t="n">
        <f aca="false">$C$141+$C$137*((Model!$C$5*(($C152)+Model!$C$6*(G$146)))-(Model!$C$5*(($C$139)+Model!$C$6*($C$140)))-$C$138*(((((Model!$C$5*(($C152)+Model!$C$6*(G$146)))-($C$142))*NORMSDIST(((Model!$C$5*(($C152)+Model!$C$6*(G$146)))-($C$142))/Model!$C$7)+Model!$C$7*EXP(-((((Model!$C$5*(($C152)+Model!$C$6*(G$146)))-($C$142))/Model!$C$7)^2)/2)/SQRT(2*PI()))-(((Model!$C$5*(($C152)+Model!$C$6*(G$146)))-($C$143))*NORMSDIST(((Model!$C$5*(($C152)+Model!$C$6*(G$146)))-($C$143))/Model!$C$7)+Model!$C$7*EXP(-((((Model!$C$5*(($C152)+Model!$C$6*(G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796.453344605498</v>
      </c>
      <c r="O152" s="27" t="n">
        <f aca="false">$C$141+$C$137*((Model!$C$5*(($C152)+Model!$C$6*(H$146)))-(Model!$C$5*(($C$139)+Model!$C$6*($C$140)))-$C$138*(((((Model!$C$5*(($C152)+Model!$C$6*(H$146)))-($C$142))*NORMSDIST(((Model!$C$5*(($C152)+Model!$C$6*(H$146)))-($C$142))/Model!$C$7)+Model!$C$7*EXP(-((((Model!$C$5*(($C152)+Model!$C$6*(H$146)))-($C$142))/Model!$C$7)^2)/2)/SQRT(2*PI()))-(((Model!$C$5*(($C152)+Model!$C$6*(H$146)))-($C$143))*NORMSDIST(((Model!$C$5*(($C152)+Model!$C$6*(H$146)))-($C$143))/Model!$C$7)+Model!$C$7*EXP(-((((Model!$C$5*(($C152)+Model!$C$6*(H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818.480341033044</v>
      </c>
      <c r="Q152" s="39" t="n">
        <f aca="false">C152</f>
        <v>51</v>
      </c>
      <c r="R152" s="48" t="n">
        <f aca="false">K152-D152</f>
        <v>-8.34763656313294</v>
      </c>
      <c r="S152" s="48" t="n">
        <f aca="false">L152-E152</f>
        <v>-0.137584461091592</v>
      </c>
      <c r="T152" s="48" t="n">
        <f aca="false">M152-F152</f>
        <v>8.54860229515964</v>
      </c>
      <c r="U152" s="48" t="n">
        <f aca="false">N152-G152</f>
        <v>10.4533446054978</v>
      </c>
      <c r="V152" s="48" t="n">
        <f aca="false">O152-H152</f>
        <v>3.48034103304417</v>
      </c>
    </row>
    <row r="153" customFormat="false" ht="15" hidden="false" customHeight="false" outlineLevel="0" collapsed="false">
      <c r="C153" s="6" t="n">
        <v>41</v>
      </c>
      <c r="D153" s="47" t="n">
        <v>660</v>
      </c>
      <c r="E153" s="47" t="n">
        <v>694</v>
      </c>
      <c r="F153" s="47" t="n">
        <v>723</v>
      </c>
      <c r="G153" s="47" t="n">
        <v>743</v>
      </c>
      <c r="H153" s="47" t="n">
        <v>762</v>
      </c>
      <c r="J153" s="39" t="n">
        <f aca="false">C153</f>
        <v>41</v>
      </c>
      <c r="K153" s="27" t="n">
        <f aca="false">$C$141+$C$137*((Model!$C$5*(($C153)+Model!$C$6*(D$146)))-(Model!$C$5*(($C$139)+Model!$C$6*($C$140)))-$C$138*(((((Model!$C$5*(($C153)+Model!$C$6*(D$146)))-($C$142))*NORMSDIST(((Model!$C$5*(($C153)+Model!$C$6*(D$146)))-($C$142))/Model!$C$7)+Model!$C$7*EXP(-((((Model!$C$5*(($C153)+Model!$C$6*(D$146)))-($C$142))/Model!$C$7)^2)/2)/SQRT(2*PI()))-(((Model!$C$5*(($C153)+Model!$C$6*(D$146)))-($C$143))*NORMSDIST(((Model!$C$5*(($C153)+Model!$C$6*(D$146)))-($C$143))/Model!$C$7)+Model!$C$7*EXP(-((((Model!$C$5*(($C153)+Model!$C$6*(D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656.239725524981</v>
      </c>
      <c r="L153" s="27" t="n">
        <f aca="false">$C$141+$C$137*((Model!$C$5*(($C153)+Model!$C$6*(E$146)))-(Model!$C$5*(($C$139)+Model!$C$6*($C$140)))-$C$138*(((((Model!$C$5*(($C153)+Model!$C$6*(E$146)))-($C$142))*NORMSDIST(((Model!$C$5*(($C153)+Model!$C$6*(E$146)))-($C$142))/Model!$C$7)+Model!$C$7*EXP(-((((Model!$C$5*(($C153)+Model!$C$6*(E$146)))-($C$142))/Model!$C$7)^2)/2)/SQRT(2*PI()))-(((Model!$C$5*(($C153)+Model!$C$6*(E$146)))-($C$143))*NORMSDIST(((Model!$C$5*(($C153)+Model!$C$6*(E$146)))-($C$143))/Model!$C$7)+Model!$C$7*EXP(-((((Model!$C$5*(($C153)+Model!$C$6*(E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689.916919706644</v>
      </c>
      <c r="M153" s="27" t="n">
        <f aca="false">$C$141+$C$137*((Model!$C$5*(($C153)+Model!$C$6*(F$146)))-(Model!$C$5*(($C$139)+Model!$C$6*($C$140)))-$C$138*(((((Model!$C$5*(($C153)+Model!$C$6*(F$146)))-($C$142))*NORMSDIST(((Model!$C$5*(($C153)+Model!$C$6*(F$146)))-($C$142))/Model!$C$7)+Model!$C$7*EXP(-((((Model!$C$5*(($C153)+Model!$C$6*(F$146)))-($C$142))/Model!$C$7)^2)/2)/SQRT(2*PI()))-(((Model!$C$5*(($C153)+Model!$C$6*(F$146)))-($C$143))*NORMSDIST(((Model!$C$5*(($C153)+Model!$C$6*(F$146)))-($C$143))/Model!$C$7)+Model!$C$7*EXP(-((((Model!$C$5*(($C153)+Model!$C$6*(F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721.757221433087</v>
      </c>
      <c r="N153" s="27" t="n">
        <f aca="false">$C$141+$C$137*((Model!$C$5*(($C153)+Model!$C$6*(G$146)))-(Model!$C$5*(($C$139)+Model!$C$6*($C$140)))-$C$138*(((((Model!$C$5*(($C153)+Model!$C$6*(G$146)))-($C$142))*NORMSDIST(((Model!$C$5*(($C153)+Model!$C$6*(G$146)))-($C$142))/Model!$C$7)+Model!$C$7*EXP(-((((Model!$C$5*(($C153)+Model!$C$6*(G$146)))-($C$142))/Model!$C$7)^2)/2)/SQRT(2*PI()))-(((Model!$C$5*(($C153)+Model!$C$6*(G$146)))-($C$143))*NORMSDIST(((Model!$C$5*(($C153)+Model!$C$6*(G$146)))-($C$143))/Model!$C$7)+Model!$C$7*EXP(-((((Model!$C$5*(($C153)+Model!$C$6*(G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751.341122299453</v>
      </c>
      <c r="O153" s="27" t="n">
        <f aca="false">$C$141+$C$137*((Model!$C$5*(($C153)+Model!$C$6*(H$146)))-(Model!$C$5*(($C$139)+Model!$C$6*($C$140)))-$C$138*(((((Model!$C$5*(($C153)+Model!$C$6*(H$146)))-($C$142))*NORMSDIST(((Model!$C$5*(($C153)+Model!$C$6*(H$146)))-($C$142))/Model!$C$7)+Model!$C$7*EXP(-((((Model!$C$5*(($C153)+Model!$C$6*(H$146)))-($C$142))/Model!$C$7)^2)/2)/SQRT(2*PI()))-(((Model!$C$5*(($C153)+Model!$C$6*(H$146)))-($C$143))*NORMSDIST(((Model!$C$5*(($C153)+Model!$C$6*(H$146)))-($C$143))/Model!$C$7)+Model!$C$7*EXP(-((((Model!$C$5*(($C153)+Model!$C$6*(H$146)))-($C$143))/Model!$C$7)^2)/2)/SQRT(2*PI())))-((((Model!$C$5*(($C$139)+Model!$C$6*($C$140)))-($C$142))*NORMSDIST(((Model!$C$5*(($C$139)+Model!$C$6*($C$140)))-($C$142))/Model!$C$7)+Model!$C$7*EXP(-((((Model!$C$5*(($C$139)+Model!$C$6*($C$140)))-($C$142))/Model!$C$7)^2)/2)/SQRT(2*PI()))-(((Model!$C$5*(($C$139)+Model!$C$6*($C$140)))-($C$143))*NORMSDIST(((Model!$C$5*(($C$139)+Model!$C$6*($C$140)))-($C$143))/Model!$C$7)+Model!$C$7*EXP(-((((Model!$C$5*(($C$139)+Model!$C$6*($C$140)))-($C$143))/Model!$C$7)^2)/2)/SQRT(2*PI())))))</f>
        <v>778.320666621056</v>
      </c>
      <c r="Q153" s="39" t="n">
        <f aca="false">C153</f>
        <v>41</v>
      </c>
      <c r="R153" s="48" t="n">
        <f aca="false">K153-D153</f>
        <v>-3.7602744750194</v>
      </c>
      <c r="S153" s="48" t="n">
        <f aca="false">L153-E153</f>
        <v>-4.08308029335603</v>
      </c>
      <c r="T153" s="48" t="n">
        <f aca="false">M153-F153</f>
        <v>-1.2427785669131</v>
      </c>
      <c r="U153" s="48" t="n">
        <f aca="false">N153-G153</f>
        <v>8.34112229945288</v>
      </c>
      <c r="V153" s="48" t="n">
        <f aca="false">O153-H153</f>
        <v>16.3206666210558</v>
      </c>
    </row>
    <row r="154" customFormat="false" ht="15" hidden="false" customHeight="false" outlineLevel="0" collapsed="false">
      <c r="B154" s="49" t="s">
        <v>146</v>
      </c>
      <c r="C154" s="50" t="n">
        <f aca="false">($C$141+$C$137*(1-$C$138)*Model!$C$5*((C147-$C$139)+(D146-$C$140))-D147)^2+($C$141+$C$137*(1-$C$138)*Model!$C$5*((C147-$C$139)+(E146-$C$140))-E147)^2+($C$141+$C$137*(1-$C$138)*Model!$C$5*((C147-$C$139)+(F146-$C$140))-F147)^2+($C$141+$C$137*(1-$C$138)*Model!$C$5*((C147-$C$139)+(G146-$C$140))-G147)^2+($C$141+$C$137*(1-$C$138)*Model!$C$5*((C147-$C$139)+(H146-$C$140))-H147)^2+($C$141+$C$137*(1-$C$138)*Model!$C$5*((C148-$C$139)+(D146-$C$140))-D148)^2+($C$141+$C$137*(1-$C$138)*Model!$C$5*((C148-$C$139)+(E146-$C$140))-E148)^2+($C$141+$C$137*(1-$C$138)*Model!$C$5*((C148-$C$139)+(F146-$C$140))-F148)^2+($C$141+$C$137*(1-$C$138)*Model!$C$5*((C148-$C$139)+(G146-$C$140))-G148)^2+($C$141+$C$137*(1-$C$138)*Model!$C$5*((C148-$C$139)+(H146-$C$140))-H148)^2+($C$141+$C$137*(1-$C$138)*Model!$C$5*((C149-$C$139)+(D146-$C$140))-D149)^2+($C$141+$C$137*(1-$C$138)*Model!$C$5*((C149-$C$139)+(E146-$C$140))-E149)^2+($C$141+$C$137*(1-$C$138)*Model!$C$5*((C149-$C$139)+(F146-$C$140))-F149)^2+($C$141+$C$137*(1-$C$138)*Model!$C$5*((C149-$C$139)+(G146-$C$140))-G149)^2+($C$141+$C$137*(1-$C$138)*Model!$C$5*((C149-$C$139)+(H146-$C$140))-H149)^2+($C$141+$C$137*(1-$C$138)*Model!$C$5*((C150-$C$139)+(D146-$C$140))-D150)^2+($C$141+$C$137*(1-$C$138)*Model!$C$5*((C150-$C$139)+(E146-$C$140))-E150)^2+($C$141+$C$137*(1-$C$138)*Model!$C$5*((C150-$C$139)+(F146-$C$140))-F150)^2+($C$141+$C$137*(1-$C$138)*Model!$C$5*((C150-$C$139)+(G146-$C$140))-G150)^2+($C$141+$C$137*(1-$C$138)*Model!$C$5*((C150-$C$139)+(H146-$C$140))-H150)^2+($C$141+$C$137*(1-$C$138)*Model!$C$5*((C151-$C$139)+(D146-$C$140))-D151)^2+($C$141+$C$137*(1-$C$138)*Model!$C$5*((C151-$C$139)+(E146-$C$140))-E151)^2+($C$141+$C$137*(1-$C$138)*Model!$C$5*((C151-$C$139)+(F146-$C$140))-F151)^2+($C$141+$C$137*(1-$C$138)*Model!$C$5*((C151-$C$139)+(G146-$C$140))-G151)^2+($C$141+$C$137*(1-$C$138)*Model!$C$5*((C151-$C$139)+(H146-$C$140))-H151)^2+($C$141+$C$137*(1-$C$138)*Model!$C$5*((C152-$C$139)+(D146-$C$140))-D152)^2+($C$141+$C$137*(1-$C$138)*Model!$C$5*((C152-$C$139)+(E146-$C$140))-E152)^2+($C$141+$C$137*(1-$C$138)*Model!$C$5*((C152-$C$139)+(F146-$C$140))-F152)^2+($C$141+$C$137*(1-$C$138)*Model!$C$5*((C152-$C$139)+(G146-$C$140))-G152)^2+($C$141+$C$137*(1-$C$138)*Model!$C$5*((C152-$C$139)+(H146-$C$140))-H152)^2+($C$141+$C$137*(1-$C$138)*Model!$C$5*((C153-$C$139)+(D146-$C$140))-D153)^2+($C$141+$C$137*(1-$C$138)*Model!$C$5*((C153-$C$139)+(E146-$C$140))-E153)^2+($C$141+$C$137*(1-$C$138)*Model!$C$5*((C153-$C$139)+(F146-$C$140))-F153)^2+($C$141+$C$137*(1-$C$138)*Model!$C$5*((C153-$C$139)+(G146-$C$140))-G153)^2+($C$141+$C$137*(1-$C$138)*Model!$C$5*((C153-$C$139)+(H146-$C$140))-H153)^2</f>
        <v>66583.89175</v>
      </c>
    </row>
    <row r="157" customFormat="false" ht="15" hidden="false" customHeight="false" outlineLevel="0" collapsed="false">
      <c r="B157" s="42" t="s">
        <v>130</v>
      </c>
      <c r="C157" s="43" t="s">
        <v>152</v>
      </c>
    </row>
    <row r="158" customFormat="false" ht="15" hidden="false" customHeight="false" outlineLevel="0" collapsed="false">
      <c r="B158" s="4" t="s">
        <v>114</v>
      </c>
      <c r="C158" s="33" t="s">
        <v>121</v>
      </c>
    </row>
    <row r="159" customFormat="false" ht="15" hidden="false" customHeight="false" outlineLevel="0" collapsed="false">
      <c r="B159" s="4" t="s">
        <v>135</v>
      </c>
      <c r="C159" s="6" t="n">
        <v>8</v>
      </c>
    </row>
    <row r="160" customFormat="false" ht="15" hidden="false" customHeight="false" outlineLevel="0" collapsed="false">
      <c r="B160" s="4" t="s">
        <v>136</v>
      </c>
      <c r="C160" s="11" t="n">
        <f aca="false">C159/12</f>
        <v>0.666666666666667</v>
      </c>
    </row>
    <row r="161" customFormat="false" ht="15" hidden="false" customHeight="false" outlineLevel="0" collapsed="false">
      <c r="B161" s="4" t="s">
        <v>52</v>
      </c>
      <c r="C161" s="15" t="n">
        <v>0.78</v>
      </c>
    </row>
    <row r="162" customFormat="false" ht="15" hidden="false" customHeight="false" outlineLevel="0" collapsed="false">
      <c r="B162" s="4" t="s">
        <v>137</v>
      </c>
      <c r="C162" s="7" t="n">
        <v>98</v>
      </c>
    </row>
    <row r="163" customFormat="false" ht="15" hidden="false" customHeight="false" outlineLevel="0" collapsed="false">
      <c r="B163" s="4" t="s">
        <v>138</v>
      </c>
      <c r="C163" s="7" t="n">
        <v>59</v>
      </c>
    </row>
    <row r="164" customFormat="false" ht="15" hidden="false" customHeight="false" outlineLevel="0" collapsed="false">
      <c r="B164" s="4" t="s">
        <v>139</v>
      </c>
      <c r="C164" s="18" t="n">
        <f aca="false">INDEX(D170:H176,MATCH(C162,C170:C176,0),MATCH(C163,D169:H169,0))</f>
        <v>1076</v>
      </c>
    </row>
    <row r="165" customFormat="false" ht="15" hidden="false" customHeight="false" outlineLevel="0" collapsed="false">
      <c r="B165" s="4" t="s">
        <v>140</v>
      </c>
      <c r="C165" s="18" t="n">
        <f aca="false">INDEX($C$6:$C$8,MATCH(C158,$B$6:$B$8,0))</f>
        <v>691</v>
      </c>
    </row>
    <row r="166" customFormat="false" ht="15" hidden="false" customHeight="false" outlineLevel="0" collapsed="false">
      <c r="B166" s="4" t="s">
        <v>141</v>
      </c>
      <c r="C166" s="18" t="n">
        <f aca="false">INDEX($D$6:$D$8,MATCH(C158,$B$6:$B$8,0))</f>
        <v>1299</v>
      </c>
    </row>
    <row r="168" customFormat="false" ht="15" hidden="false" customHeight="false" outlineLevel="0" collapsed="false">
      <c r="C168" s="3" t="s">
        <v>142</v>
      </c>
      <c r="J168" s="3" t="s">
        <v>143</v>
      </c>
      <c r="Q168" s="3" t="s">
        <v>144</v>
      </c>
    </row>
    <row r="169" customFormat="false" ht="15" hidden="false" customHeight="false" outlineLevel="0" collapsed="false">
      <c r="C169" s="44" t="s">
        <v>145</v>
      </c>
      <c r="D169" s="45" t="n">
        <v>49</v>
      </c>
      <c r="E169" s="45" t="n">
        <v>54</v>
      </c>
      <c r="F169" s="45" t="n">
        <v>59</v>
      </c>
      <c r="G169" s="45" t="n">
        <v>64</v>
      </c>
      <c r="H169" s="45" t="n">
        <v>69</v>
      </c>
      <c r="J169" s="44" t="s">
        <v>145</v>
      </c>
      <c r="K169" s="46" t="n">
        <f aca="false">D169</f>
        <v>49</v>
      </c>
      <c r="L169" s="46" t="n">
        <f aca="false">E169</f>
        <v>54</v>
      </c>
      <c r="M169" s="46" t="n">
        <f aca="false">F169</f>
        <v>59</v>
      </c>
      <c r="N169" s="46" t="n">
        <f aca="false">G169</f>
        <v>64</v>
      </c>
      <c r="O169" s="46" t="n">
        <f aca="false">H169</f>
        <v>69</v>
      </c>
      <c r="Q169" s="44" t="s">
        <v>145</v>
      </c>
      <c r="R169" s="46" t="n">
        <f aca="false">D169</f>
        <v>49</v>
      </c>
      <c r="S169" s="46" t="n">
        <f aca="false">E169</f>
        <v>54</v>
      </c>
      <c r="T169" s="46" t="n">
        <f aca="false">F169</f>
        <v>59</v>
      </c>
      <c r="U169" s="46" t="n">
        <f aca="false">G169</f>
        <v>64</v>
      </c>
      <c r="V169" s="46" t="n">
        <f aca="false">H169</f>
        <v>69</v>
      </c>
    </row>
    <row r="170" customFormat="false" ht="15" hidden="false" customHeight="false" outlineLevel="0" collapsed="false">
      <c r="C170" s="6" t="n">
        <v>128</v>
      </c>
      <c r="D170" s="47" t="n">
        <v>1167</v>
      </c>
      <c r="E170" s="47" t="n">
        <v>1193</v>
      </c>
      <c r="F170" s="47" t="n">
        <v>1219</v>
      </c>
      <c r="G170" s="47" t="n">
        <v>1244</v>
      </c>
      <c r="H170" s="47" t="n">
        <v>1270</v>
      </c>
      <c r="J170" s="39" t="n">
        <f aca="false">C170</f>
        <v>128</v>
      </c>
      <c r="K170" s="27" t="n">
        <f aca="false">$C$164+$C$160*((Model!$C$5*(($C170)+Model!$C$6*(D$169)))-(Model!$C$5*(($C$162)+Model!$C$6*($C$163)))-$C$161*(((((Model!$C$5*(($C170)+Model!$C$6*(D$169)))-($C$165))*NORMSDIST(((Model!$C$5*(($C170)+Model!$C$6*(D$169)))-($C$165))/Model!$C$7)+Model!$C$7*EXP(-((((Model!$C$5*(($C170)+Model!$C$6*(D$169)))-($C$165))/Model!$C$7)^2)/2)/SQRT(2*PI()))-(((Model!$C$5*(($C170)+Model!$C$6*(D$169)))-($C$166))*NORMSDIST(((Model!$C$5*(($C170)+Model!$C$6*(D$169)))-($C$166))/Model!$C$7)+Model!$C$7*EXP(-((((Model!$C$5*(($C170)+Model!$C$6*(D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1148.03199498436</v>
      </c>
      <c r="L170" s="27" t="n">
        <f aca="false">$C$164+$C$160*((Model!$C$5*(($C170)+Model!$C$6*(E$169)))-(Model!$C$5*(($C$162)+Model!$C$6*($C$163)))-$C$161*(((((Model!$C$5*(($C170)+Model!$C$6*(E$169)))-($C$165))*NORMSDIST(((Model!$C$5*(($C170)+Model!$C$6*(E$169)))-($C$165))/Model!$C$7)+Model!$C$7*EXP(-((((Model!$C$5*(($C170)+Model!$C$6*(E$169)))-($C$165))/Model!$C$7)^2)/2)/SQRT(2*PI()))-(((Model!$C$5*(($C170)+Model!$C$6*(E$169)))-($C$166))*NORMSDIST(((Model!$C$5*(($C170)+Model!$C$6*(E$169)))-($C$166))/Model!$C$7)+Model!$C$7*EXP(-((((Model!$C$5*(($C170)+Model!$C$6*(E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1174.33698761511</v>
      </c>
      <c r="M170" s="27" t="n">
        <f aca="false">$C$164+$C$160*((Model!$C$5*(($C170)+Model!$C$6*(F$169)))-(Model!$C$5*(($C$162)+Model!$C$6*($C$163)))-$C$161*(((((Model!$C$5*(($C170)+Model!$C$6*(F$169)))-($C$165))*NORMSDIST(((Model!$C$5*(($C170)+Model!$C$6*(F$169)))-($C$165))/Model!$C$7)+Model!$C$7*EXP(-((((Model!$C$5*(($C170)+Model!$C$6*(F$169)))-($C$165))/Model!$C$7)^2)/2)/SQRT(2*PI()))-(((Model!$C$5*(($C170)+Model!$C$6*(F$169)))-($C$166))*NORMSDIST(((Model!$C$5*(($C170)+Model!$C$6*(F$169)))-($C$166))/Model!$C$7)+Model!$C$7*EXP(-((((Model!$C$5*(($C170)+Model!$C$6*(F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1201.92900807583</v>
      </c>
      <c r="N170" s="27" t="n">
        <f aca="false">$C$164+$C$160*((Model!$C$5*(($C170)+Model!$C$6*(G$169)))-(Model!$C$5*(($C$162)+Model!$C$6*($C$163)))-$C$161*(((((Model!$C$5*(($C170)+Model!$C$6*(G$169)))-($C$165))*NORMSDIST(((Model!$C$5*(($C170)+Model!$C$6*(G$169)))-($C$165))/Model!$C$7)+Model!$C$7*EXP(-((((Model!$C$5*(($C170)+Model!$C$6*(G$169)))-($C$165))/Model!$C$7)^2)/2)/SQRT(2*PI()))-(((Model!$C$5*(($C170)+Model!$C$6*(G$169)))-($C$166))*NORMSDIST(((Model!$C$5*(($C170)+Model!$C$6*(G$169)))-($C$166))/Model!$C$7)+Model!$C$7*EXP(-((((Model!$C$5*(($C170)+Model!$C$6*(G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1230.47132735251</v>
      </c>
      <c r="O170" s="27" t="n">
        <f aca="false">$C$164+$C$160*((Model!$C$5*(($C170)+Model!$C$6*(H$169)))-(Model!$C$5*(($C$162)+Model!$C$6*($C$163)))-$C$161*(((((Model!$C$5*(($C170)+Model!$C$6*(H$169)))-($C$165))*NORMSDIST(((Model!$C$5*(($C170)+Model!$C$6*(H$169)))-($C$165))/Model!$C$7)+Model!$C$7*EXP(-((((Model!$C$5*(($C170)+Model!$C$6*(H$169)))-($C$165))/Model!$C$7)^2)/2)/SQRT(2*PI()))-(((Model!$C$5*(($C170)+Model!$C$6*(H$169)))-($C$166))*NORMSDIST(((Model!$C$5*(($C170)+Model!$C$6*(H$169)))-($C$166))/Model!$C$7)+Model!$C$7*EXP(-((((Model!$C$5*(($C170)+Model!$C$6*(H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1259.67310005189</v>
      </c>
      <c r="Q170" s="39" t="n">
        <f aca="false">C170</f>
        <v>128</v>
      </c>
      <c r="R170" s="48" t="n">
        <f aca="false">K170-D170</f>
        <v>-18.9680050156421</v>
      </c>
      <c r="S170" s="48" t="n">
        <f aca="false">L170-E170</f>
        <v>-18.663012384887</v>
      </c>
      <c r="T170" s="48" t="n">
        <f aca="false">M170-F170</f>
        <v>-17.0709919241683</v>
      </c>
      <c r="U170" s="48" t="n">
        <f aca="false">N170-G170</f>
        <v>-13.5286726474903</v>
      </c>
      <c r="V170" s="48" t="n">
        <f aca="false">O170-H170</f>
        <v>-10.3268999481065</v>
      </c>
    </row>
    <row r="171" customFormat="false" ht="15" hidden="false" customHeight="false" outlineLevel="0" collapsed="false">
      <c r="C171" s="6" t="n">
        <v>118</v>
      </c>
      <c r="D171" s="47" t="n">
        <v>1111</v>
      </c>
      <c r="E171" s="47" t="n">
        <v>1137</v>
      </c>
      <c r="F171" s="47" t="n">
        <v>1163</v>
      </c>
      <c r="G171" s="47" t="n">
        <v>1188</v>
      </c>
      <c r="H171" s="47" t="n">
        <v>1214</v>
      </c>
      <c r="J171" s="39" t="n">
        <f aca="false">C171</f>
        <v>118</v>
      </c>
      <c r="K171" s="27" t="n">
        <f aca="false">$C$164+$C$160*((Model!$C$5*(($C171)+Model!$C$6*(D$169)))-(Model!$C$5*(($C$162)+Model!$C$6*($C$163)))-$C$161*(((((Model!$C$5*(($C171)+Model!$C$6*(D$169)))-($C$165))*NORMSDIST(((Model!$C$5*(($C171)+Model!$C$6*(D$169)))-($C$165))/Model!$C$7)+Model!$C$7*EXP(-((((Model!$C$5*(($C171)+Model!$C$6*(D$169)))-($C$165))/Model!$C$7)^2)/2)/SQRT(2*PI()))-(((Model!$C$5*(($C171)+Model!$C$6*(D$169)))-($C$166))*NORMSDIST(((Model!$C$5*(($C171)+Model!$C$6*(D$169)))-($C$166))/Model!$C$7)+Model!$C$7*EXP(-((((Model!$C$5*(($C171)+Model!$C$6*(D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1106.37703214573</v>
      </c>
      <c r="L171" s="27" t="n">
        <f aca="false">$C$164+$C$160*((Model!$C$5*(($C171)+Model!$C$6*(E$169)))-(Model!$C$5*(($C$162)+Model!$C$6*($C$163)))-$C$161*(((((Model!$C$5*(($C171)+Model!$C$6*(E$169)))-($C$165))*NORMSDIST(((Model!$C$5*(($C171)+Model!$C$6*(E$169)))-($C$165))/Model!$C$7)+Model!$C$7*EXP(-((((Model!$C$5*(($C171)+Model!$C$6*(E$169)))-($C$165))/Model!$C$7)^2)/2)/SQRT(2*PI()))-(((Model!$C$5*(($C171)+Model!$C$6*(E$169)))-($C$166))*NORMSDIST(((Model!$C$5*(($C171)+Model!$C$6*(E$169)))-($C$166))/Model!$C$7)+Model!$C$7*EXP(-((((Model!$C$5*(($C171)+Model!$C$6*(E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1129.62308753213</v>
      </c>
      <c r="M171" s="27" t="n">
        <f aca="false">$C$164+$C$160*((Model!$C$5*(($C171)+Model!$C$6*(F$169)))-(Model!$C$5*(($C$162)+Model!$C$6*($C$163)))-$C$161*(((((Model!$C$5*(($C171)+Model!$C$6*(F$169)))-($C$165))*NORMSDIST(((Model!$C$5*(($C171)+Model!$C$6*(F$169)))-($C$165))/Model!$C$7)+Model!$C$7*EXP(-((((Model!$C$5*(($C171)+Model!$C$6*(F$169)))-($C$165))/Model!$C$7)^2)/2)/SQRT(2*PI()))-(((Model!$C$5*(($C171)+Model!$C$6*(F$169)))-($C$166))*NORMSDIST(((Model!$C$5*(($C171)+Model!$C$6*(F$169)))-($C$166))/Model!$C$7)+Model!$C$7*EXP(-((((Model!$C$5*(($C171)+Model!$C$6*(F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1154.75032367951</v>
      </c>
      <c r="N171" s="27" t="n">
        <f aca="false">$C$164+$C$160*((Model!$C$5*(($C171)+Model!$C$6*(G$169)))-(Model!$C$5*(($C$162)+Model!$C$6*($C$163)))-$C$161*(((((Model!$C$5*(($C171)+Model!$C$6*(G$169)))-($C$165))*NORMSDIST(((Model!$C$5*(($C171)+Model!$C$6*(G$169)))-($C$165))/Model!$C$7)+Model!$C$7*EXP(-((((Model!$C$5*(($C171)+Model!$C$6*(G$169)))-($C$165))/Model!$C$7)^2)/2)/SQRT(2*PI()))-(((Model!$C$5*(($C171)+Model!$C$6*(G$169)))-($C$166))*NORMSDIST(((Model!$C$5*(($C171)+Model!$C$6*(G$169)))-($C$166))/Model!$C$7)+Model!$C$7*EXP(-((((Model!$C$5*(($C171)+Model!$C$6*(G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1181.4250302904</v>
      </c>
      <c r="O171" s="27" t="n">
        <f aca="false">$C$164+$C$160*((Model!$C$5*(($C171)+Model!$C$6*(H$169)))-(Model!$C$5*(($C$162)+Model!$C$6*($C$163)))-$C$161*(((((Model!$C$5*(($C171)+Model!$C$6*(H$169)))-($C$165))*NORMSDIST(((Model!$C$5*(($C171)+Model!$C$6*(H$169)))-($C$165))/Model!$C$7)+Model!$C$7*EXP(-((((Model!$C$5*(($C171)+Model!$C$6*(H$169)))-($C$165))/Model!$C$7)^2)/2)/SQRT(2*PI()))-(((Model!$C$5*(($C171)+Model!$C$6*(H$169)))-($C$166))*NORMSDIST(((Model!$C$5*(($C171)+Model!$C$6*(H$169)))-($C$166))/Model!$C$7)+Model!$C$7*EXP(-((((Model!$C$5*(($C171)+Model!$C$6*(H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1209.2959895315</v>
      </c>
      <c r="Q171" s="39" t="n">
        <f aca="false">C171</f>
        <v>118</v>
      </c>
      <c r="R171" s="48" t="n">
        <f aca="false">K171-D171</f>
        <v>-4.62296785426997</v>
      </c>
      <c r="S171" s="48" t="n">
        <f aca="false">L171-E171</f>
        <v>-7.37691246786881</v>
      </c>
      <c r="T171" s="48" t="n">
        <f aca="false">M171-F171</f>
        <v>-8.24967632049379</v>
      </c>
      <c r="U171" s="48" t="n">
        <f aca="false">N171-G171</f>
        <v>-6.57496970960165</v>
      </c>
      <c r="V171" s="48" t="n">
        <f aca="false">O171-H171</f>
        <v>-4.70401046849884</v>
      </c>
    </row>
    <row r="172" customFormat="false" ht="15" hidden="false" customHeight="false" outlineLevel="0" collapsed="false">
      <c r="C172" s="6" t="n">
        <v>108</v>
      </c>
      <c r="D172" s="47" t="n">
        <v>1065</v>
      </c>
      <c r="E172" s="47" t="n">
        <v>1087</v>
      </c>
      <c r="F172" s="47" t="n">
        <v>1112</v>
      </c>
      <c r="G172" s="47" t="n">
        <v>1138</v>
      </c>
      <c r="H172" s="47" t="n">
        <v>1164</v>
      </c>
      <c r="J172" s="39" t="n">
        <f aca="false">C172</f>
        <v>108</v>
      </c>
      <c r="K172" s="27" t="n">
        <f aca="false">$C$164+$C$160*((Model!$C$5*(($C172)+Model!$C$6*(D$169)))-(Model!$C$5*(($C$162)+Model!$C$6*($C$163)))-$C$161*(((((Model!$C$5*(($C172)+Model!$C$6*(D$169)))-($C$165))*NORMSDIST(((Model!$C$5*(($C172)+Model!$C$6*(D$169)))-($C$165))/Model!$C$7)+Model!$C$7*EXP(-((((Model!$C$5*(($C172)+Model!$C$6*(D$169)))-($C$165))/Model!$C$7)^2)/2)/SQRT(2*PI()))-(((Model!$C$5*(($C172)+Model!$C$6*(D$169)))-($C$166))*NORMSDIST(((Model!$C$5*(($C172)+Model!$C$6*(D$169)))-($C$166))/Model!$C$7)+Model!$C$7*EXP(-((((Model!$C$5*(($C172)+Model!$C$6*(D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1071.1639590649</v>
      </c>
      <c r="L172" s="27" t="n">
        <f aca="false">$C$164+$C$160*((Model!$C$5*(($C172)+Model!$C$6*(E$169)))-(Model!$C$5*(($C$162)+Model!$C$6*($C$163)))-$C$161*(((((Model!$C$5*(($C172)+Model!$C$6*(E$169)))-($C$165))*NORMSDIST(((Model!$C$5*(($C172)+Model!$C$6*(E$169)))-($C$165))/Model!$C$7)+Model!$C$7*EXP(-((((Model!$C$5*(($C172)+Model!$C$6*(E$169)))-($C$165))/Model!$C$7)^2)/2)/SQRT(2*PI()))-(((Model!$C$5*(($C172)+Model!$C$6*(E$169)))-($C$166))*NORMSDIST(((Model!$C$5*(($C172)+Model!$C$6*(E$169)))-($C$166))/Model!$C$7)+Model!$C$7*EXP(-((((Model!$C$5*(($C172)+Model!$C$6*(E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1090.56511481162</v>
      </c>
      <c r="M172" s="27" t="n">
        <f aca="false">$C$164+$C$160*((Model!$C$5*(($C172)+Model!$C$6*(F$169)))-(Model!$C$5*(($C$162)+Model!$C$6*($C$163)))-$C$161*(((((Model!$C$5*(($C172)+Model!$C$6*(F$169)))-($C$165))*NORMSDIST(((Model!$C$5*(($C172)+Model!$C$6*(F$169)))-($C$165))/Model!$C$7)+Model!$C$7*EXP(-((((Model!$C$5*(($C172)+Model!$C$6*(F$169)))-($C$165))/Model!$C$7)^2)/2)/SQRT(2*PI()))-(((Model!$C$5*(($C172)+Model!$C$6*(F$169)))-($C$166))*NORMSDIST(((Model!$C$5*(($C172)+Model!$C$6*(F$169)))-($C$166))/Model!$C$7)+Model!$C$7*EXP(-((((Model!$C$5*(($C172)+Model!$C$6*(F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1112.24327120907</v>
      </c>
      <c r="N172" s="27" t="n">
        <f aca="false">$C$164+$C$160*((Model!$C$5*(($C172)+Model!$C$6*(G$169)))-(Model!$C$5*(($C$162)+Model!$C$6*($C$163)))-$C$161*(((((Model!$C$5*(($C172)+Model!$C$6*(G$169)))-($C$165))*NORMSDIST(((Model!$C$5*(($C172)+Model!$C$6*(G$169)))-($C$165))/Model!$C$7)+Model!$C$7*EXP(-((((Model!$C$5*(($C172)+Model!$C$6*(G$169)))-($C$165))/Model!$C$7)^2)/2)/SQRT(2*PI()))-(((Model!$C$5*(($C172)+Model!$C$6*(G$169)))-($C$166))*NORMSDIST(((Model!$C$5*(($C172)+Model!$C$6*(G$169)))-($C$166))/Model!$C$7)+Model!$C$7*EXP(-((((Model!$C$5*(($C172)+Model!$C$6*(G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1136.0094073127</v>
      </c>
      <c r="O172" s="27" t="n">
        <f aca="false">$C$164+$C$160*((Model!$C$5*(($C172)+Model!$C$6*(H$169)))-(Model!$C$5*(($C$162)+Model!$C$6*($C$163)))-$C$161*(((((Model!$C$5*(($C172)+Model!$C$6*(H$169)))-($C$165))*NORMSDIST(((Model!$C$5*(($C172)+Model!$C$6*(H$169)))-($C$165))/Model!$C$7)+Model!$C$7*EXP(-((((Model!$C$5*(($C172)+Model!$C$6*(H$169)))-($C$165))/Model!$C$7)^2)/2)/SQRT(2*PI()))-(((Model!$C$5*(($C172)+Model!$C$6*(H$169)))-($C$166))*NORMSDIST(((Model!$C$5*(($C172)+Model!$C$6*(H$169)))-($C$166))/Model!$C$7)+Model!$C$7*EXP(-((((Model!$C$5*(($C172)+Model!$C$6*(H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1161.57404938422</v>
      </c>
      <c r="Q172" s="39" t="n">
        <f aca="false">C172</f>
        <v>108</v>
      </c>
      <c r="R172" s="48" t="n">
        <f aca="false">K172-D172</f>
        <v>6.16395906490243</v>
      </c>
      <c r="S172" s="48" t="n">
        <f aca="false">L172-E172</f>
        <v>3.56511481162102</v>
      </c>
      <c r="T172" s="48" t="n">
        <f aca="false">M172-F172</f>
        <v>0.243271209070372</v>
      </c>
      <c r="U172" s="48" t="n">
        <f aca="false">N172-G172</f>
        <v>-1.99059268730093</v>
      </c>
      <c r="V172" s="48" t="n">
        <f aca="false">O172-H172</f>
        <v>-2.42595061577754</v>
      </c>
    </row>
    <row r="173" customFormat="false" ht="15" hidden="false" customHeight="false" outlineLevel="0" collapsed="false">
      <c r="C173" s="6" t="n">
        <v>98</v>
      </c>
      <c r="D173" s="47" t="n">
        <v>1045</v>
      </c>
      <c r="E173" s="47" t="n">
        <v>1057</v>
      </c>
      <c r="F173" s="47" t="n">
        <v>1076</v>
      </c>
      <c r="G173" s="47" t="n">
        <v>1098</v>
      </c>
      <c r="H173" s="47" t="n">
        <v>1124</v>
      </c>
      <c r="J173" s="39" t="n">
        <f aca="false">C173</f>
        <v>98</v>
      </c>
      <c r="K173" s="27" t="n">
        <f aca="false">$C$164+$C$160*((Model!$C$5*(($C173)+Model!$C$6*(D$169)))-(Model!$C$5*(($C$162)+Model!$C$6*($C$163)))-$C$161*(((((Model!$C$5*(($C173)+Model!$C$6*(D$169)))-($C$165))*NORMSDIST(((Model!$C$5*(($C173)+Model!$C$6*(D$169)))-($C$165))/Model!$C$7)+Model!$C$7*EXP(-((((Model!$C$5*(($C173)+Model!$C$6*(D$169)))-($C$165))/Model!$C$7)^2)/2)/SQRT(2*PI()))-(((Model!$C$5*(($C173)+Model!$C$6*(D$169)))-($C$166))*NORMSDIST(((Model!$C$5*(($C173)+Model!$C$6*(D$169)))-($C$166))/Model!$C$7)+Model!$C$7*EXP(-((((Model!$C$5*(($C173)+Model!$C$6*(D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1042.92417207595</v>
      </c>
      <c r="L173" s="27" t="n">
        <f aca="false">$C$164+$C$160*((Model!$C$5*(($C173)+Model!$C$6*(E$169)))-(Model!$C$5*(($C$162)+Model!$C$6*($C$163)))-$C$161*(((((Model!$C$5*(($C173)+Model!$C$6*(E$169)))-($C$165))*NORMSDIST(((Model!$C$5*(($C173)+Model!$C$6*(E$169)))-($C$165))/Model!$C$7)+Model!$C$7*EXP(-((((Model!$C$5*(($C173)+Model!$C$6*(E$169)))-($C$165))/Model!$C$7)^2)/2)/SQRT(2*PI()))-(((Model!$C$5*(($C173)+Model!$C$6*(E$169)))-($C$166))*NORMSDIST(((Model!$C$5*(($C173)+Model!$C$6*(E$169)))-($C$166))/Model!$C$7)+Model!$C$7*EXP(-((((Model!$C$5*(($C173)+Model!$C$6*(E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1058.3247348005</v>
      </c>
      <c r="M173" s="27" t="n">
        <f aca="false">$C$164+$C$160*((Model!$C$5*(($C173)+Model!$C$6*(F$169)))-(Model!$C$5*(($C$162)+Model!$C$6*($C$163)))-$C$161*(((((Model!$C$5*(($C173)+Model!$C$6*(F$169)))-($C$165))*NORMSDIST(((Model!$C$5*(($C173)+Model!$C$6*(F$169)))-($C$165))/Model!$C$7)+Model!$C$7*EXP(-((((Model!$C$5*(($C173)+Model!$C$6*(F$169)))-($C$165))/Model!$C$7)^2)/2)/SQRT(2*PI()))-(((Model!$C$5*(($C173)+Model!$C$6*(F$169)))-($C$166))*NORMSDIST(((Model!$C$5*(($C173)+Model!$C$6*(F$169)))-($C$166))/Model!$C$7)+Model!$C$7*EXP(-((((Model!$C$5*(($C173)+Model!$C$6*(F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1076</v>
      </c>
      <c r="N173" s="27" t="n">
        <f aca="false">$C$164+$C$160*((Model!$C$5*(($C173)+Model!$C$6*(G$169)))-(Model!$C$5*(($C$162)+Model!$C$6*($C$163)))-$C$161*(((((Model!$C$5*(($C173)+Model!$C$6*(G$169)))-($C$165))*NORMSDIST(((Model!$C$5*(($C173)+Model!$C$6*(G$169)))-($C$165))/Model!$C$7)+Model!$C$7*EXP(-((((Model!$C$5*(($C173)+Model!$C$6*(G$169)))-($C$165))/Model!$C$7)^2)/2)/SQRT(2*PI()))-(((Model!$C$5*(($C173)+Model!$C$6*(G$169)))-($C$166))*NORMSDIST(((Model!$C$5*(($C173)+Model!$C$6*(G$169)))-($C$166))/Model!$C$7)+Model!$C$7*EXP(-((((Model!$C$5*(($C173)+Model!$C$6*(G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1096.00625212196</v>
      </c>
      <c r="O173" s="27" t="n">
        <f aca="false">$C$164+$C$160*((Model!$C$5*(($C173)+Model!$C$6*(H$169)))-(Model!$C$5*(($C$162)+Model!$C$6*($C$163)))-$C$161*(((((Model!$C$5*(($C173)+Model!$C$6*(H$169)))-($C$165))*NORMSDIST(((Model!$C$5*(($C173)+Model!$C$6*(H$169)))-($C$165))/Model!$C$7)+Model!$C$7*EXP(-((((Model!$C$5*(($C173)+Model!$C$6*(H$169)))-($C$165))/Model!$C$7)^2)/2)/SQRT(2*PI()))-(((Model!$C$5*(($C173)+Model!$C$6*(H$169)))-($C$166))*NORMSDIST(((Model!$C$5*(($C173)+Model!$C$6*(H$169)))-($C$166))/Model!$C$7)+Model!$C$7*EXP(-((((Model!$C$5*(($C173)+Model!$C$6*(H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1118.25214316086</v>
      </c>
      <c r="Q173" s="39" t="n">
        <f aca="false">C173</f>
        <v>98</v>
      </c>
      <c r="R173" s="48" t="n">
        <f aca="false">K173-D173</f>
        <v>-2.07582792405469</v>
      </c>
      <c r="S173" s="48" t="n">
        <f aca="false">L173-E173</f>
        <v>1.32473480049975</v>
      </c>
      <c r="T173" s="48" t="n">
        <f aca="false">M173-F173</f>
        <v>0</v>
      </c>
      <c r="U173" s="48" t="n">
        <f aca="false">N173-G173</f>
        <v>-1.99374787804481</v>
      </c>
      <c r="V173" s="48" t="n">
        <f aca="false">O173-H173</f>
        <v>-5.7478568391366</v>
      </c>
    </row>
    <row r="174" customFormat="false" ht="15" hidden="false" customHeight="false" outlineLevel="0" collapsed="false">
      <c r="C174" s="6" t="n">
        <v>88</v>
      </c>
      <c r="D174" s="47" t="n">
        <v>1030</v>
      </c>
      <c r="E174" s="47" t="n">
        <v>1042</v>
      </c>
      <c r="F174" s="47" t="n">
        <v>1054</v>
      </c>
      <c r="G174" s="47" t="n">
        <v>1068</v>
      </c>
      <c r="H174" s="47" t="n">
        <v>1087</v>
      </c>
      <c r="J174" s="39" t="n">
        <f aca="false">C174</f>
        <v>88</v>
      </c>
      <c r="K174" s="27" t="n">
        <f aca="false">$C$164+$C$160*((Model!$C$5*(($C174)+Model!$C$6*(D$169)))-(Model!$C$5*(($C$162)+Model!$C$6*($C$163)))-$C$161*(((((Model!$C$5*(($C174)+Model!$C$6*(D$169)))-($C$165))*NORMSDIST(((Model!$C$5*(($C174)+Model!$C$6*(D$169)))-($C$165))/Model!$C$7)+Model!$C$7*EXP(-((((Model!$C$5*(($C174)+Model!$C$6*(D$169)))-($C$165))/Model!$C$7)^2)/2)/SQRT(2*PI()))-(((Model!$C$5*(($C174)+Model!$C$6*(D$169)))-($C$166))*NORMSDIST(((Model!$C$5*(($C174)+Model!$C$6*(D$169)))-($C$166))/Model!$C$7)+Model!$C$7*EXP(-((((Model!$C$5*(($C174)+Model!$C$6*(D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1020.8983169626</v>
      </c>
      <c r="L174" s="27" t="n">
        <f aca="false">$C$164+$C$160*((Model!$C$5*(($C174)+Model!$C$6*(E$169)))-(Model!$C$5*(($C$162)+Model!$C$6*($C$163)))-$C$161*(((((Model!$C$5*(($C174)+Model!$C$6*(E$169)))-($C$165))*NORMSDIST(((Model!$C$5*(($C174)+Model!$C$6*(E$169)))-($C$165))/Model!$C$7)+Model!$C$7*EXP(-((((Model!$C$5*(($C174)+Model!$C$6*(E$169)))-($C$165))/Model!$C$7)^2)/2)/SQRT(2*PI()))-(((Model!$C$5*(($C174)+Model!$C$6*(E$169)))-($C$166))*NORMSDIST(((Model!$C$5*(($C174)+Model!$C$6*(E$169)))-($C$166))/Model!$C$7)+Model!$C$7*EXP(-((((Model!$C$5*(($C174)+Model!$C$6*(E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1032.89066742873</v>
      </c>
      <c r="M174" s="27" t="n">
        <f aca="false">$C$164+$C$160*((Model!$C$5*(($C174)+Model!$C$6*(F$169)))-(Model!$C$5*(($C$162)+Model!$C$6*($C$163)))-$C$161*(((((Model!$C$5*(($C174)+Model!$C$6*(F$169)))-($C$165))*NORMSDIST(((Model!$C$5*(($C174)+Model!$C$6*(F$169)))-($C$165))/Model!$C$7)+Model!$C$7*EXP(-((((Model!$C$5*(($C174)+Model!$C$6*(F$169)))-($C$165))/Model!$C$7)^2)/2)/SQRT(2*PI()))-(((Model!$C$5*(($C174)+Model!$C$6*(F$169)))-($C$166))*NORMSDIST(((Model!$C$5*(($C174)+Model!$C$6*(F$169)))-($C$166))/Model!$C$7)+Model!$C$7*EXP(-((((Model!$C$5*(($C174)+Model!$C$6*(F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1046.73123154972</v>
      </c>
      <c r="N174" s="27" t="n">
        <f aca="false">$C$164+$C$160*((Model!$C$5*(($C174)+Model!$C$6*(G$169)))-(Model!$C$5*(($C$162)+Model!$C$6*($C$163)))-$C$161*(((((Model!$C$5*(($C174)+Model!$C$6*(G$169)))-($C$165))*NORMSDIST(((Model!$C$5*(($C174)+Model!$C$6*(G$169)))-($C$165))/Model!$C$7)+Model!$C$7*EXP(-((((Model!$C$5*(($C174)+Model!$C$6*(G$169)))-($C$165))/Model!$C$7)^2)/2)/SQRT(2*PI()))-(((Model!$C$5*(($C174)+Model!$C$6*(G$169)))-($C$166))*NORMSDIST(((Model!$C$5*(($C174)+Model!$C$6*(G$169)))-($C$166))/Model!$C$7)+Model!$C$7*EXP(-((((Model!$C$5*(($C174)+Model!$C$6*(G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1062.71144384817</v>
      </c>
      <c r="O174" s="27" t="n">
        <f aca="false">$C$164+$C$160*((Model!$C$5*(($C174)+Model!$C$6*(H$169)))-(Model!$C$5*(($C$162)+Model!$C$6*($C$163)))-$C$161*(((((Model!$C$5*(($C174)+Model!$C$6*(H$169)))-($C$165))*NORMSDIST(((Model!$C$5*(($C174)+Model!$C$6*(H$169)))-($C$165))/Model!$C$7)+Model!$C$7*EXP(-((((Model!$C$5*(($C174)+Model!$C$6*(H$169)))-($C$165))/Model!$C$7)^2)/2)/SQRT(2*PI()))-(((Model!$C$5*(($C174)+Model!$C$6*(H$169)))-($C$166))*NORMSDIST(((Model!$C$5*(($C174)+Model!$C$6*(H$169)))-($C$166))/Model!$C$7)+Model!$C$7*EXP(-((((Model!$C$5*(($C174)+Model!$C$6*(H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1080.99546893624</v>
      </c>
      <c r="Q174" s="39" t="n">
        <f aca="false">C174</f>
        <v>88</v>
      </c>
      <c r="R174" s="48" t="n">
        <f aca="false">K174-D174</f>
        <v>-9.10168303740306</v>
      </c>
      <c r="S174" s="48" t="n">
        <f aca="false">L174-E174</f>
        <v>-9.10933257127226</v>
      </c>
      <c r="T174" s="48" t="n">
        <f aca="false">M174-F174</f>
        <v>-7.26876845028187</v>
      </c>
      <c r="U174" s="48" t="n">
        <f aca="false">N174-G174</f>
        <v>-5.28855615182556</v>
      </c>
      <c r="V174" s="48" t="n">
        <f aca="false">O174-H174</f>
        <v>-6.00453106376131</v>
      </c>
    </row>
    <row r="175" customFormat="false" ht="15" hidden="false" customHeight="false" outlineLevel="0" collapsed="false">
      <c r="C175" s="6" t="n">
        <v>78</v>
      </c>
      <c r="D175" s="47" t="n">
        <v>1016</v>
      </c>
      <c r="E175" s="47" t="n">
        <v>1028</v>
      </c>
      <c r="F175" s="47" t="n">
        <v>1040</v>
      </c>
      <c r="G175" s="47" t="n">
        <v>1052</v>
      </c>
      <c r="H175" s="47" t="n">
        <v>1064</v>
      </c>
      <c r="J175" s="39" t="n">
        <f aca="false">C175</f>
        <v>78</v>
      </c>
      <c r="K175" s="27" t="n">
        <f aca="false">$C$164+$C$160*((Model!$C$5*(($C175)+Model!$C$6*(D$169)))-(Model!$C$5*(($C$162)+Model!$C$6*($C$163)))-$C$161*(((((Model!$C$5*(($C175)+Model!$C$6*(D$169)))-($C$165))*NORMSDIST(((Model!$C$5*(($C175)+Model!$C$6*(D$169)))-($C$165))/Model!$C$7)+Model!$C$7*EXP(-((((Model!$C$5*(($C175)+Model!$C$6*(D$169)))-($C$165))/Model!$C$7)^2)/2)/SQRT(2*PI()))-(((Model!$C$5*(($C175)+Model!$C$6*(D$169)))-($C$166))*NORMSDIST(((Model!$C$5*(($C175)+Model!$C$6*(D$169)))-($C$166))/Model!$C$7)+Model!$C$7*EXP(-((((Model!$C$5*(($C175)+Model!$C$6*(D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1003.26881553366</v>
      </c>
      <c r="L175" s="27" t="n">
        <f aca="false">$C$164+$C$160*((Model!$C$5*(($C175)+Model!$C$6*(E$169)))-(Model!$C$5*(($C$162)+Model!$C$6*($C$163)))-$C$161*(((((Model!$C$5*(($C175)+Model!$C$6*(E$169)))-($C$165))*NORMSDIST(((Model!$C$5*(($C175)+Model!$C$6*(E$169)))-($C$165))/Model!$C$7)+Model!$C$7*EXP(-((((Model!$C$5*(($C175)+Model!$C$6*(E$169)))-($C$165))/Model!$C$7)^2)/2)/SQRT(2*PI()))-(((Model!$C$5*(($C175)+Model!$C$6*(E$169)))-($C$166))*NORMSDIST(((Model!$C$5*(($C175)+Model!$C$6*(E$169)))-($C$166))/Model!$C$7)+Model!$C$7*EXP(-((((Model!$C$5*(($C175)+Model!$C$6*(E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1012.99885187312</v>
      </c>
      <c r="M175" s="27" t="n">
        <f aca="false">$C$164+$C$160*((Model!$C$5*(($C175)+Model!$C$6*(F$169)))-(Model!$C$5*(($C$162)+Model!$C$6*($C$163)))-$C$161*(((((Model!$C$5*(($C175)+Model!$C$6*(F$169)))-($C$165))*NORMSDIST(((Model!$C$5*(($C175)+Model!$C$6*(F$169)))-($C$165))/Model!$C$7)+Model!$C$7*EXP(-((((Model!$C$5*(($C175)+Model!$C$6*(F$169)))-($C$165))/Model!$C$7)^2)/2)/SQRT(2*PI()))-(((Model!$C$5*(($C175)+Model!$C$6*(F$169)))-($C$166))*NORMSDIST(((Model!$C$5*(($C175)+Model!$C$6*(F$169)))-($C$166))/Model!$C$7)+Model!$C$7*EXP(-((((Model!$C$5*(($C175)+Model!$C$6*(F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1023.86880651171</v>
      </c>
      <c r="N175" s="27" t="n">
        <f aca="false">$C$164+$C$160*((Model!$C$5*(($C175)+Model!$C$6*(G$169)))-(Model!$C$5*(($C$162)+Model!$C$6*($C$163)))-$C$161*(((((Model!$C$5*(($C175)+Model!$C$6*(G$169)))-($C$165))*NORMSDIST(((Model!$C$5*(($C175)+Model!$C$6*(G$169)))-($C$165))/Model!$C$7)+Model!$C$7*EXP(-((((Model!$C$5*(($C175)+Model!$C$6*(G$169)))-($C$165))/Model!$C$7)^2)/2)/SQRT(2*PI()))-(((Model!$C$5*(($C175)+Model!$C$6*(G$169)))-($C$166))*NORMSDIST(((Model!$C$5*(($C175)+Model!$C$6*(G$169)))-($C$166))/Model!$C$7)+Model!$C$7*EXP(-((((Model!$C$5*(($C175)+Model!$C$6*(G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1036.30931078823</v>
      </c>
      <c r="O175" s="27" t="n">
        <f aca="false">$C$164+$C$160*((Model!$C$5*(($C175)+Model!$C$6*(H$169)))-(Model!$C$5*(($C$162)+Model!$C$6*($C$163)))-$C$161*(((((Model!$C$5*(($C175)+Model!$C$6*(H$169)))-($C$165))*NORMSDIST(((Model!$C$5*(($C175)+Model!$C$6*(H$169)))-($C$165))/Model!$C$7)+Model!$C$7*EXP(-((((Model!$C$5*(($C175)+Model!$C$6*(H$169)))-($C$165))/Model!$C$7)^2)/2)/SQRT(2*PI()))-(((Model!$C$5*(($C175)+Model!$C$6*(H$169)))-($C$166))*NORMSDIST(((Model!$C$5*(($C175)+Model!$C$6*(H$169)))-($C$166))/Model!$C$7)+Model!$C$7*EXP(-((((Model!$C$5*(($C175)+Model!$C$6*(H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1050.68458305077</v>
      </c>
      <c r="Q175" s="39" t="n">
        <f aca="false">C175</f>
        <v>78</v>
      </c>
      <c r="R175" s="48" t="n">
        <f aca="false">K175-D175</f>
        <v>-12.7311844663409</v>
      </c>
      <c r="S175" s="48" t="n">
        <f aca="false">L175-E175</f>
        <v>-15.0011481268756</v>
      </c>
      <c r="T175" s="48" t="n">
        <f aca="false">M175-F175</f>
        <v>-16.131193488287</v>
      </c>
      <c r="U175" s="48" t="n">
        <f aca="false">N175-G175</f>
        <v>-15.6906892117736</v>
      </c>
      <c r="V175" s="48" t="n">
        <f aca="false">O175-H175</f>
        <v>-13.315416949227</v>
      </c>
    </row>
    <row r="176" customFormat="false" ht="15" hidden="false" customHeight="false" outlineLevel="0" collapsed="false">
      <c r="C176" s="6" t="n">
        <v>68</v>
      </c>
      <c r="D176" s="47" t="n">
        <v>996</v>
      </c>
      <c r="E176" s="47" t="n">
        <v>1008</v>
      </c>
      <c r="F176" s="47" t="n">
        <v>1020</v>
      </c>
      <c r="G176" s="47" t="n">
        <v>1032</v>
      </c>
      <c r="H176" s="47" t="n">
        <v>1044</v>
      </c>
      <c r="J176" s="39" t="n">
        <f aca="false">C176</f>
        <v>68</v>
      </c>
      <c r="K176" s="27" t="n">
        <f aca="false">$C$164+$C$160*((Model!$C$5*(($C176)+Model!$C$6*(D$169)))-(Model!$C$5*(($C$162)+Model!$C$6*($C$163)))-$C$161*(((((Model!$C$5*(($C176)+Model!$C$6*(D$169)))-($C$165))*NORMSDIST(((Model!$C$5*(($C176)+Model!$C$6*(D$169)))-($C$165))/Model!$C$7)+Model!$C$7*EXP(-((((Model!$C$5*(($C176)+Model!$C$6*(D$169)))-($C$165))/Model!$C$7)^2)/2)/SQRT(2*PI()))-(((Model!$C$5*(($C176)+Model!$C$6*(D$169)))-($C$166))*NORMSDIST(((Model!$C$5*(($C176)+Model!$C$6*(D$169)))-($C$166))/Model!$C$7)+Model!$C$7*EXP(-((((Model!$C$5*(($C176)+Model!$C$6*(D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987.672835382406</v>
      </c>
      <c r="L176" s="27" t="n">
        <f aca="false">$C$164+$C$160*((Model!$C$5*(($C176)+Model!$C$6*(E$169)))-(Model!$C$5*(($C$162)+Model!$C$6*($C$163)))-$C$161*(((((Model!$C$5*(($C176)+Model!$C$6*(E$169)))-($C$165))*NORMSDIST(((Model!$C$5*(($C176)+Model!$C$6*(E$169)))-($C$165))/Model!$C$7)+Model!$C$7*EXP(-((((Model!$C$5*(($C176)+Model!$C$6*(E$169)))-($C$165))/Model!$C$7)^2)/2)/SQRT(2*PI()))-(((Model!$C$5*(($C176)+Model!$C$6*(E$169)))-($C$166))*NORMSDIST(((Model!$C$5*(($C176)+Model!$C$6*(E$169)))-($C$166))/Model!$C$7)+Model!$C$7*EXP(-((((Model!$C$5*(($C176)+Model!$C$6*(E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996.537300351659</v>
      </c>
      <c r="M176" s="27" t="n">
        <f aca="false">$C$164+$C$160*((Model!$C$5*(($C176)+Model!$C$6*(F$169)))-(Model!$C$5*(($C$162)+Model!$C$6*($C$163)))-$C$161*(((((Model!$C$5*(($C176)+Model!$C$6*(F$169)))-($C$165))*NORMSDIST(((Model!$C$5*(($C176)+Model!$C$6*(F$169)))-($C$165))/Model!$C$7)+Model!$C$7*EXP(-((((Model!$C$5*(($C176)+Model!$C$6*(F$169)))-($C$165))/Model!$C$7)^2)/2)/SQRT(2*PI()))-(((Model!$C$5*(($C176)+Model!$C$6*(F$169)))-($C$166))*NORMSDIST(((Model!$C$5*(($C176)+Model!$C$6*(F$169)))-($C$166))/Model!$C$7)+Model!$C$7*EXP(-((((Model!$C$5*(($C176)+Model!$C$6*(F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1005.7228276961</v>
      </c>
      <c r="N176" s="27" t="n">
        <f aca="false">$C$164+$C$160*((Model!$C$5*(($C176)+Model!$C$6*(G$169)))-(Model!$C$5*(($C$162)+Model!$C$6*($C$163)))-$C$161*(((((Model!$C$5*(($C176)+Model!$C$6*(G$169)))-($C$165))*NORMSDIST(((Model!$C$5*(($C176)+Model!$C$6*(G$169)))-($C$165))/Model!$C$7)+Model!$C$7*EXP(-((((Model!$C$5*(($C176)+Model!$C$6*(G$169)))-($C$165))/Model!$C$7)^2)/2)/SQRT(2*PI()))-(((Model!$C$5*(($C176)+Model!$C$6*(G$169)))-($C$166))*NORMSDIST(((Model!$C$5*(($C176)+Model!$C$6*(G$169)))-($C$166))/Model!$C$7)+Model!$C$7*EXP(-((((Model!$C$5*(($C176)+Model!$C$6*(G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1015.70631660192</v>
      </c>
      <c r="O176" s="27" t="n">
        <f aca="false">$C$164+$C$160*((Model!$C$5*(($C176)+Model!$C$6*(H$169)))-(Model!$C$5*(($C$162)+Model!$C$6*($C$163)))-$C$161*(((((Model!$C$5*(($C176)+Model!$C$6*(H$169)))-($C$165))*NORMSDIST(((Model!$C$5*(($C176)+Model!$C$6*(H$169)))-($C$165))/Model!$C$7)+Model!$C$7*EXP(-((((Model!$C$5*(($C176)+Model!$C$6*(H$169)))-($C$165))/Model!$C$7)^2)/2)/SQRT(2*PI()))-(((Model!$C$5*(($C176)+Model!$C$6*(H$169)))-($C$166))*NORMSDIST(((Model!$C$5*(($C176)+Model!$C$6*(H$169)))-($C$166))/Model!$C$7)+Model!$C$7*EXP(-((((Model!$C$5*(($C176)+Model!$C$6*(H$169)))-($C$166))/Model!$C$7)^2)/2)/SQRT(2*PI())))-((((Model!$C$5*(($C$162)+Model!$C$6*($C$163)))-($C$165))*NORMSDIST(((Model!$C$5*(($C$162)+Model!$C$6*($C$163)))-($C$165))/Model!$C$7)+Model!$C$7*EXP(-((((Model!$C$5*(($C$162)+Model!$C$6*($C$163)))-($C$165))/Model!$C$7)^2)/2)/SQRT(2*PI()))-(((Model!$C$5*(($C$162)+Model!$C$6*($C$163)))-($C$166))*NORMSDIST(((Model!$C$5*(($C$162)+Model!$C$6*($C$163)))-($C$166))/Model!$C$7)+Model!$C$7*EXP(-((((Model!$C$5*(($C$162)+Model!$C$6*($C$163)))-($C$166))/Model!$C$7)^2)/2)/SQRT(2*PI())))))</f>
        <v>1026.94652355455</v>
      </c>
      <c r="Q176" s="39" t="n">
        <f aca="false">C176</f>
        <v>68</v>
      </c>
      <c r="R176" s="48" t="n">
        <f aca="false">K176-D176</f>
        <v>-8.32716461759367</v>
      </c>
      <c r="S176" s="48" t="n">
        <f aca="false">L176-E176</f>
        <v>-11.4626996483406</v>
      </c>
      <c r="T176" s="48" t="n">
        <f aca="false">M176-F176</f>
        <v>-14.2771723039027</v>
      </c>
      <c r="U176" s="48" t="n">
        <f aca="false">N176-G176</f>
        <v>-16.2936833980823</v>
      </c>
      <c r="V176" s="48" t="n">
        <f aca="false">O176-H176</f>
        <v>-17.0534764454494</v>
      </c>
    </row>
    <row r="177" customFormat="false" ht="15" hidden="false" customHeight="false" outlineLevel="0" collapsed="false">
      <c r="B177" s="49" t="s">
        <v>146</v>
      </c>
      <c r="C177" s="50" t="n">
        <f aca="false">($C$164+$C$160*(1-$C$161)*Model!$C$5*((C170-$C$162)+(D169-$C$163))-D170)^2+($C$164+$C$160*(1-$C$161)*Model!$C$5*((C170-$C$162)+(E169-$C$163))-E170)^2+($C$164+$C$160*(1-$C$161)*Model!$C$5*((C170-$C$162)+(F169-$C$163))-F170)^2+($C$164+$C$160*(1-$C$161)*Model!$C$5*((C170-$C$162)+(G169-$C$163))-G170)^2+($C$164+$C$160*(1-$C$161)*Model!$C$5*((C170-$C$162)+(H169-$C$163))-H170)^2+($C$164+$C$160*(1-$C$161)*Model!$C$5*((C171-$C$162)+(D169-$C$163))-D171)^2+($C$164+$C$160*(1-$C$161)*Model!$C$5*((C171-$C$162)+(E169-$C$163))-E171)^2+($C$164+$C$160*(1-$C$161)*Model!$C$5*((C171-$C$162)+(F169-$C$163))-F171)^2+($C$164+$C$160*(1-$C$161)*Model!$C$5*((C171-$C$162)+(G169-$C$163))-G171)^2+($C$164+$C$160*(1-$C$161)*Model!$C$5*((C171-$C$162)+(H169-$C$163))-H171)^2+($C$164+$C$160*(1-$C$161)*Model!$C$5*((C172-$C$162)+(D169-$C$163))-D172)^2+($C$164+$C$160*(1-$C$161)*Model!$C$5*((C172-$C$162)+(E169-$C$163))-E172)^2+($C$164+$C$160*(1-$C$161)*Model!$C$5*((C172-$C$162)+(F169-$C$163))-F172)^2+($C$164+$C$160*(1-$C$161)*Model!$C$5*((C172-$C$162)+(G169-$C$163))-G172)^2+($C$164+$C$160*(1-$C$161)*Model!$C$5*((C172-$C$162)+(H169-$C$163))-H172)^2+($C$164+$C$160*(1-$C$161)*Model!$C$5*((C173-$C$162)+(D169-$C$163))-D173)^2+($C$164+$C$160*(1-$C$161)*Model!$C$5*((C173-$C$162)+(E169-$C$163))-E173)^2+($C$164+$C$160*(1-$C$161)*Model!$C$5*((C173-$C$162)+(F169-$C$163))-F173)^2+($C$164+$C$160*(1-$C$161)*Model!$C$5*((C173-$C$162)+(G169-$C$163))-G173)^2+($C$164+$C$160*(1-$C$161)*Model!$C$5*((C173-$C$162)+(H169-$C$163))-H173)^2+($C$164+$C$160*(1-$C$161)*Model!$C$5*((C174-$C$162)+(D169-$C$163))-D174)^2+($C$164+$C$160*(1-$C$161)*Model!$C$5*((C174-$C$162)+(E169-$C$163))-E174)^2+($C$164+$C$160*(1-$C$161)*Model!$C$5*((C174-$C$162)+(F169-$C$163))-F174)^2+($C$164+$C$160*(1-$C$161)*Model!$C$5*((C174-$C$162)+(G169-$C$163))-G174)^2+($C$164+$C$160*(1-$C$161)*Model!$C$5*((C174-$C$162)+(H169-$C$163))-H174)^2+($C$164+$C$160*(1-$C$161)*Model!$C$5*((C175-$C$162)+(D169-$C$163))-D175)^2+($C$164+$C$160*(1-$C$161)*Model!$C$5*((C175-$C$162)+(E169-$C$163))-E175)^2+($C$164+$C$160*(1-$C$161)*Model!$C$5*((C175-$C$162)+(F169-$C$163))-F175)^2+($C$164+$C$160*(1-$C$161)*Model!$C$5*((C175-$C$162)+(G169-$C$163))-G175)^2+($C$164+$C$160*(1-$C$161)*Model!$C$5*((C175-$C$162)+(H169-$C$163))-H175)^2+($C$164+$C$160*(1-$C$161)*Model!$C$5*((C176-$C$162)+(D169-$C$163))-D176)^2+($C$164+$C$160*(1-$C$161)*Model!$C$5*((C176-$C$162)+(E169-$C$163))-E176)^2+($C$164+$C$160*(1-$C$161)*Model!$C$5*((C176-$C$162)+(F169-$C$163))-F176)^2+($C$164+$C$160*(1-$C$161)*Model!$C$5*((C176-$C$162)+(G169-$C$163))-G176)^2+($C$164+$C$160*(1-$C$161)*Model!$C$5*((C176-$C$162)+(H169-$C$163))-H176)^2</f>
        <v>100341.788053333</v>
      </c>
    </row>
    <row r="180" customFormat="false" ht="15" hidden="false" customHeight="false" outlineLevel="0" collapsed="false">
      <c r="B180" s="42" t="s">
        <v>131</v>
      </c>
      <c r="C180" s="43" t="s">
        <v>153</v>
      </c>
    </row>
    <row r="181" customFormat="false" ht="15" hidden="false" customHeight="false" outlineLevel="0" collapsed="false">
      <c r="B181" s="4" t="s">
        <v>114</v>
      </c>
      <c r="C181" s="33" t="s">
        <v>121</v>
      </c>
    </row>
    <row r="182" customFormat="false" ht="15" hidden="false" customHeight="false" outlineLevel="0" collapsed="false">
      <c r="B182" s="4" t="s">
        <v>135</v>
      </c>
      <c r="C182" s="6" t="n">
        <v>5</v>
      </c>
    </row>
    <row r="183" customFormat="false" ht="15" hidden="false" customHeight="false" outlineLevel="0" collapsed="false">
      <c r="B183" s="4" t="s">
        <v>136</v>
      </c>
      <c r="C183" s="11" t="n">
        <f aca="false">C182/12</f>
        <v>0.416666666666667</v>
      </c>
    </row>
    <row r="184" customFormat="false" ht="15" hidden="false" customHeight="false" outlineLevel="0" collapsed="false">
      <c r="B184" s="4" t="s">
        <v>52</v>
      </c>
      <c r="C184" s="15" t="n">
        <v>0.81</v>
      </c>
    </row>
    <row r="185" customFormat="false" ht="15" hidden="false" customHeight="false" outlineLevel="0" collapsed="false">
      <c r="B185" s="4" t="s">
        <v>137</v>
      </c>
      <c r="C185" s="7" t="n">
        <v>84</v>
      </c>
    </row>
    <row r="186" customFormat="false" ht="15" hidden="false" customHeight="false" outlineLevel="0" collapsed="false">
      <c r="B186" s="4" t="s">
        <v>138</v>
      </c>
      <c r="C186" s="7" t="n">
        <v>64</v>
      </c>
    </row>
    <row r="187" customFormat="false" ht="15" hidden="false" customHeight="false" outlineLevel="0" collapsed="false">
      <c r="B187" s="4" t="s">
        <v>139</v>
      </c>
      <c r="C187" s="18" t="n">
        <f aca="false">INDEX(D193:H199,MATCH(C185,C193:C199,0),MATCH(C186,D192:H192,0))</f>
        <v>1036</v>
      </c>
    </row>
    <row r="188" customFormat="false" ht="15" hidden="false" customHeight="false" outlineLevel="0" collapsed="false">
      <c r="B188" s="4" t="s">
        <v>140</v>
      </c>
      <c r="C188" s="18" t="n">
        <f aca="false">INDEX($C$6:$C$8,MATCH(C181,$B$6:$B$8,0))</f>
        <v>691</v>
      </c>
    </row>
    <row r="189" customFormat="false" ht="15" hidden="false" customHeight="false" outlineLevel="0" collapsed="false">
      <c r="B189" s="4" t="s">
        <v>141</v>
      </c>
      <c r="C189" s="18" t="n">
        <f aca="false">INDEX($D$6:$D$8,MATCH(C181,$B$6:$B$8,0))</f>
        <v>1299</v>
      </c>
    </row>
    <row r="191" customFormat="false" ht="15" hidden="false" customHeight="false" outlineLevel="0" collapsed="false">
      <c r="C191" s="3" t="s">
        <v>142</v>
      </c>
      <c r="J191" s="3" t="s">
        <v>143</v>
      </c>
      <c r="Q191" s="3" t="s">
        <v>144</v>
      </c>
    </row>
    <row r="192" customFormat="false" ht="15" hidden="false" customHeight="false" outlineLevel="0" collapsed="false">
      <c r="C192" s="44" t="s">
        <v>145</v>
      </c>
      <c r="D192" s="45" t="n">
        <v>44</v>
      </c>
      <c r="E192" s="45" t="n">
        <v>54</v>
      </c>
      <c r="F192" s="45" t="n">
        <v>64</v>
      </c>
      <c r="G192" s="45" t="n">
        <v>74</v>
      </c>
      <c r="H192" s="45" t="n">
        <v>84</v>
      </c>
      <c r="J192" s="44" t="s">
        <v>145</v>
      </c>
      <c r="K192" s="46" t="n">
        <f aca="false">D192</f>
        <v>44</v>
      </c>
      <c r="L192" s="46" t="n">
        <f aca="false">E192</f>
        <v>54</v>
      </c>
      <c r="M192" s="46" t="n">
        <f aca="false">F192</f>
        <v>64</v>
      </c>
      <c r="N192" s="46" t="n">
        <f aca="false">G192</f>
        <v>74</v>
      </c>
      <c r="O192" s="46" t="n">
        <f aca="false">H192</f>
        <v>84</v>
      </c>
      <c r="Q192" s="44" t="s">
        <v>145</v>
      </c>
      <c r="R192" s="46" t="n">
        <f aca="false">D192</f>
        <v>44</v>
      </c>
      <c r="S192" s="46" t="n">
        <f aca="false">E192</f>
        <v>54</v>
      </c>
      <c r="T192" s="46" t="n">
        <f aca="false">F192</f>
        <v>64</v>
      </c>
      <c r="U192" s="46" t="n">
        <f aca="false">G192</f>
        <v>74</v>
      </c>
      <c r="V192" s="46" t="n">
        <f aca="false">H192</f>
        <v>84</v>
      </c>
    </row>
    <row r="193" customFormat="false" ht="15" hidden="false" customHeight="false" outlineLevel="0" collapsed="false">
      <c r="C193" s="6" t="n">
        <v>114</v>
      </c>
      <c r="D193" s="47" t="n">
        <v>1057</v>
      </c>
      <c r="E193" s="47" t="n">
        <v>1083</v>
      </c>
      <c r="F193" s="47" t="n">
        <v>1110</v>
      </c>
      <c r="G193" s="47" t="n">
        <v>1137</v>
      </c>
      <c r="H193" s="47" t="n">
        <v>1164</v>
      </c>
      <c r="J193" s="39" t="n">
        <f aca="false">C193</f>
        <v>114</v>
      </c>
      <c r="K193" s="27" t="n">
        <f aca="false">$C$187+$C$183*((Model!$C$5*(($C193)+Model!$C$6*(D$192)))-(Model!$C$5*(($C$185)+Model!$C$6*($C$186)))-$C$184*(((((Model!$C$5*(($C193)+Model!$C$6*(D$192)))-($C$188))*NORMSDIST(((Model!$C$5*(($C193)+Model!$C$6*(D$192)))-($C$188))/Model!$C$7)+Model!$C$7*EXP(-((((Model!$C$5*(($C193)+Model!$C$6*(D$192)))-($C$188))/Model!$C$7)^2)/2)/SQRT(2*PI()))-(((Model!$C$5*(($C193)+Model!$C$6*(D$192)))-($C$189))*NORMSDIST(((Model!$C$5*(($C193)+Model!$C$6*(D$192)))-($C$189))/Model!$C$7)+Model!$C$7*EXP(-((((Model!$C$5*(($C193)+Model!$C$6*(D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1048.48680711639</v>
      </c>
      <c r="L193" s="27" t="n">
        <f aca="false">$C$187+$C$183*((Model!$C$5*(($C193)+Model!$C$6*(E$192)))-(Model!$C$5*(($C$185)+Model!$C$6*($C$186)))-$C$184*(((((Model!$C$5*(($C193)+Model!$C$6*(E$192)))-($C$188))*NORMSDIST(((Model!$C$5*(($C193)+Model!$C$6*(E$192)))-($C$188))/Model!$C$7)+Model!$C$7*EXP(-((((Model!$C$5*(($C193)+Model!$C$6*(E$192)))-($C$188))/Model!$C$7)^2)/2)/SQRT(2*PI()))-(((Model!$C$5*(($C193)+Model!$C$6*(E$192)))-($C$189))*NORMSDIST(((Model!$C$5*(($C193)+Model!$C$6*(E$192)))-($C$189))/Model!$C$7)+Model!$C$7*EXP(-((((Model!$C$5*(($C193)+Model!$C$6*(E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1073.82432644875</v>
      </c>
      <c r="M193" s="27" t="n">
        <f aca="false">$C$187+$C$183*((Model!$C$5*(($C193)+Model!$C$6*(F$192)))-(Model!$C$5*(($C$185)+Model!$C$6*($C$186)))-$C$184*(((((Model!$C$5*(($C193)+Model!$C$6*(F$192)))-($C$188))*NORMSDIST(((Model!$C$5*(($C193)+Model!$C$6*(F$192)))-($C$188))/Model!$C$7)+Model!$C$7*EXP(-((((Model!$C$5*(($C193)+Model!$C$6*(F$192)))-($C$188))/Model!$C$7)^2)/2)/SQRT(2*PI()))-(((Model!$C$5*(($C193)+Model!$C$6*(F$192)))-($C$189))*NORMSDIST(((Model!$C$5*(($C193)+Model!$C$6*(F$192)))-($C$189))/Model!$C$7)+Model!$C$7*EXP(-((((Model!$C$5*(($C193)+Model!$C$6*(F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1104.49051442026</v>
      </c>
      <c r="N193" s="27" t="n">
        <f aca="false">$C$187+$C$183*((Model!$C$5*(($C193)+Model!$C$6*(G$192)))-(Model!$C$5*(($C$185)+Model!$C$6*($C$186)))-$C$184*(((((Model!$C$5*(($C193)+Model!$C$6*(G$192)))-($C$188))*NORMSDIST(((Model!$C$5*(($C193)+Model!$C$6*(G$192)))-($C$188))/Model!$C$7)+Model!$C$7*EXP(-((((Model!$C$5*(($C193)+Model!$C$6*(G$192)))-($C$188))/Model!$C$7)^2)/2)/SQRT(2*PI()))-(((Model!$C$5*(($C193)+Model!$C$6*(G$192)))-($C$189))*NORMSDIST(((Model!$C$5*(($C193)+Model!$C$6*(G$192)))-($C$189))/Model!$C$7)+Model!$C$7*EXP(-((((Model!$C$5*(($C193)+Model!$C$6*(G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1138.89354169082</v>
      </c>
      <c r="O193" s="27" t="n">
        <f aca="false">$C$187+$C$183*((Model!$C$5*(($C193)+Model!$C$6*(H$192)))-(Model!$C$5*(($C$185)+Model!$C$6*($C$186)))-$C$184*(((((Model!$C$5*(($C193)+Model!$C$6*(H$192)))-($C$188))*NORMSDIST(((Model!$C$5*(($C193)+Model!$C$6*(H$192)))-($C$188))/Model!$C$7)+Model!$C$7*EXP(-((((Model!$C$5*(($C193)+Model!$C$6*(H$192)))-($C$188))/Model!$C$7)^2)/2)/SQRT(2*PI()))-(((Model!$C$5*(($C193)+Model!$C$6*(H$192)))-($C$189))*NORMSDIST(((Model!$C$5*(($C193)+Model!$C$6*(H$192)))-($C$189))/Model!$C$7)+Model!$C$7*EXP(-((((Model!$C$5*(($C193)+Model!$C$6*(H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1175.35548782643</v>
      </c>
      <c r="Q193" s="39" t="n">
        <f aca="false">C193</f>
        <v>114</v>
      </c>
      <c r="R193" s="48" t="n">
        <f aca="false">K193-D193</f>
        <v>-8.51319288360674</v>
      </c>
      <c r="S193" s="48" t="n">
        <f aca="false">L193-E193</f>
        <v>-9.17567355124606</v>
      </c>
      <c r="T193" s="48" t="n">
        <f aca="false">M193-F193</f>
        <v>-5.50948557974061</v>
      </c>
      <c r="U193" s="48" t="n">
        <f aca="false">N193-G193</f>
        <v>1.8935416908239</v>
      </c>
      <c r="V193" s="48" t="n">
        <f aca="false">O193-H193</f>
        <v>11.3554878264335</v>
      </c>
    </row>
    <row r="194" customFormat="false" ht="15" hidden="false" customHeight="false" outlineLevel="0" collapsed="false">
      <c r="C194" s="6" t="n">
        <v>104</v>
      </c>
      <c r="D194" s="47" t="n">
        <v>1030</v>
      </c>
      <c r="E194" s="47" t="n">
        <v>1055</v>
      </c>
      <c r="F194" s="47" t="n">
        <v>1082</v>
      </c>
      <c r="G194" s="47" t="n">
        <v>1108</v>
      </c>
      <c r="H194" s="47" t="n">
        <v>1135</v>
      </c>
      <c r="J194" s="39" t="n">
        <f aca="false">C194</f>
        <v>104</v>
      </c>
      <c r="K194" s="27" t="n">
        <f aca="false">$C$187+$C$183*((Model!$C$5*(($C194)+Model!$C$6*(D$192)))-(Model!$C$5*(($C$185)+Model!$C$6*($C$186)))-$C$184*(((((Model!$C$5*(($C194)+Model!$C$6*(D$192)))-($C$188))*NORMSDIST(((Model!$C$5*(($C194)+Model!$C$6*(D$192)))-($C$188))/Model!$C$7)+Model!$C$7*EXP(-((((Model!$C$5*(($C194)+Model!$C$6*(D$192)))-($C$188))/Model!$C$7)^2)/2)/SQRT(2*PI()))-(((Model!$C$5*(($C194)+Model!$C$6*(D$192)))-($C$189))*NORMSDIST(((Model!$C$5*(($C194)+Model!$C$6*(D$192)))-($C$189))/Model!$C$7)+Model!$C$7*EXP(-((((Model!$C$5*(($C194)+Model!$C$6*(D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1031.3103275258</v>
      </c>
      <c r="L194" s="27" t="n">
        <f aca="false">$C$187+$C$183*((Model!$C$5*(($C194)+Model!$C$6*(E$192)))-(Model!$C$5*(($C$185)+Model!$C$6*($C$186)))-$C$184*(((((Model!$C$5*(($C194)+Model!$C$6*(E$192)))-($C$188))*NORMSDIST(((Model!$C$5*(($C194)+Model!$C$6*(E$192)))-($C$188))/Model!$C$7)+Model!$C$7*EXP(-((((Model!$C$5*(($C194)+Model!$C$6*(E$192)))-($C$188))/Model!$C$7)^2)/2)/SQRT(2*PI()))-(((Model!$C$5*(($C194)+Model!$C$6*(E$192)))-($C$189))*NORMSDIST(((Model!$C$5*(($C194)+Model!$C$6*(E$192)))-($C$189))/Model!$C$7)+Model!$C$7*EXP(-((((Model!$C$5*(($C194)+Model!$C$6*(E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1051.45341851439</v>
      </c>
      <c r="M194" s="27" t="n">
        <f aca="false">$C$187+$C$183*((Model!$C$5*(($C194)+Model!$C$6*(F$192)))-(Model!$C$5*(($C$185)+Model!$C$6*($C$186)))-$C$184*(((((Model!$C$5*(($C194)+Model!$C$6*(F$192)))-($C$188))*NORMSDIST(((Model!$C$5*(($C194)+Model!$C$6*(F$192)))-($C$188))/Model!$C$7)+Model!$C$7*EXP(-((((Model!$C$5*(($C194)+Model!$C$6*(F$192)))-($C$188))/Model!$C$7)^2)/2)/SQRT(2*PI()))-(((Model!$C$5*(($C194)+Model!$C$6*(F$192)))-($C$189))*NORMSDIST(((Model!$C$5*(($C194)+Model!$C$6*(F$192)))-($C$189))/Model!$C$7)+Model!$C$7*EXP(-((((Model!$C$5*(($C194)+Model!$C$6*(F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1077.55003489277</v>
      </c>
      <c r="N194" s="27" t="n">
        <f aca="false">$C$187+$C$183*((Model!$C$5*(($C194)+Model!$C$6*(G$192)))-(Model!$C$5*(($C$185)+Model!$C$6*($C$186)))-$C$184*(((((Model!$C$5*(($C194)+Model!$C$6*(G$192)))-($C$188))*NORMSDIST(((Model!$C$5*(($C194)+Model!$C$6*(G$192)))-($C$188))/Model!$C$7)+Model!$C$7*EXP(-((((Model!$C$5*(($C194)+Model!$C$6*(G$192)))-($C$188))/Model!$C$7)^2)/2)/SQRT(2*PI()))-(((Model!$C$5*(($C194)+Model!$C$6*(G$192)))-($C$189))*NORMSDIST(((Model!$C$5*(($C194)+Model!$C$6*(G$192)))-($C$189))/Model!$C$7)+Model!$C$7*EXP(-((((Model!$C$5*(($C194)+Model!$C$6*(G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1108.80457957294</v>
      </c>
      <c r="O194" s="27" t="n">
        <f aca="false">$C$187+$C$183*((Model!$C$5*(($C194)+Model!$C$6*(H$192)))-(Model!$C$5*(($C$185)+Model!$C$6*($C$186)))-$C$184*(((((Model!$C$5*(($C194)+Model!$C$6*(H$192)))-($C$188))*NORMSDIST(((Model!$C$5*(($C194)+Model!$C$6*(H$192)))-($C$188))/Model!$C$7)+Model!$C$7*EXP(-((((Model!$C$5*(($C194)+Model!$C$6*(H$192)))-($C$188))/Model!$C$7)^2)/2)/SQRT(2*PI()))-(((Model!$C$5*(($C194)+Model!$C$6*(H$192)))-($C$189))*NORMSDIST(((Model!$C$5*(($C194)+Model!$C$6*(H$192)))-($C$189))/Model!$C$7)+Model!$C$7*EXP(-((((Model!$C$5*(($C194)+Model!$C$6*(H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1143.56400519651</v>
      </c>
      <c r="Q194" s="39" t="n">
        <f aca="false">C194</f>
        <v>104</v>
      </c>
      <c r="R194" s="48" t="n">
        <f aca="false">K194-D194</f>
        <v>1.31032752580063</v>
      </c>
      <c r="S194" s="48" t="n">
        <f aca="false">L194-E194</f>
        <v>-3.54658148561452</v>
      </c>
      <c r="T194" s="48" t="n">
        <f aca="false">M194-F194</f>
        <v>-4.44996510722649</v>
      </c>
      <c r="U194" s="48" t="n">
        <f aca="false">N194-G194</f>
        <v>0.804579572939474</v>
      </c>
      <c r="V194" s="48" t="n">
        <f aca="false">O194-H194</f>
        <v>8.56400519650879</v>
      </c>
    </row>
    <row r="195" customFormat="false" ht="15" hidden="false" customHeight="false" outlineLevel="0" collapsed="false">
      <c r="C195" s="6" t="n">
        <v>94</v>
      </c>
      <c r="D195" s="47" t="n">
        <v>1012</v>
      </c>
      <c r="E195" s="47" t="n">
        <v>1033</v>
      </c>
      <c r="F195" s="47" t="n">
        <v>1059</v>
      </c>
      <c r="G195" s="47" t="n">
        <v>1085</v>
      </c>
      <c r="H195" s="47" t="n">
        <v>1112</v>
      </c>
      <c r="J195" s="39" t="n">
        <f aca="false">C195</f>
        <v>94</v>
      </c>
      <c r="K195" s="27" t="n">
        <f aca="false">$C$187+$C$183*((Model!$C$5*(($C195)+Model!$C$6*(D$192)))-(Model!$C$5*(($C$185)+Model!$C$6*($C$186)))-$C$184*(((((Model!$C$5*(($C195)+Model!$C$6*(D$192)))-($C$188))*NORMSDIST(((Model!$C$5*(($C195)+Model!$C$6*(D$192)))-($C$188))/Model!$C$7)+Model!$C$7*EXP(-((((Model!$C$5*(($C195)+Model!$C$6*(D$192)))-($C$188))/Model!$C$7)^2)/2)/SQRT(2*PI()))-(((Model!$C$5*(($C195)+Model!$C$6*(D$192)))-($C$189))*NORMSDIST(((Model!$C$5*(($C195)+Model!$C$6*(D$192)))-($C$189))/Model!$C$7)+Model!$C$7*EXP(-((((Model!$C$5*(($C195)+Model!$C$6*(D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1018.18886939311</v>
      </c>
      <c r="L195" s="27" t="n">
        <f aca="false">$C$187+$C$183*((Model!$C$5*(($C195)+Model!$C$6*(E$192)))-(Model!$C$5*(($C$185)+Model!$C$6*($C$186)))-$C$184*(((((Model!$C$5*(($C195)+Model!$C$6*(E$192)))-($C$188))*NORMSDIST(((Model!$C$5*(($C195)+Model!$C$6*(E$192)))-($C$188))/Model!$C$7)+Model!$C$7*EXP(-((((Model!$C$5*(($C195)+Model!$C$6*(E$192)))-($C$188))/Model!$C$7)^2)/2)/SQRT(2*PI()))-(((Model!$C$5*(($C195)+Model!$C$6*(E$192)))-($C$189))*NORMSDIST(((Model!$C$5*(($C195)+Model!$C$6*(E$192)))-($C$189))/Model!$C$7)+Model!$C$7*EXP(-((((Model!$C$5*(($C195)+Model!$C$6*(E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1033.60746632655</v>
      </c>
      <c r="M195" s="27" t="n">
        <f aca="false">$C$187+$C$183*((Model!$C$5*(($C195)+Model!$C$6*(F$192)))-(Model!$C$5*(($C$185)+Model!$C$6*($C$186)))-$C$184*(((((Model!$C$5*(($C195)+Model!$C$6*(F$192)))-($C$188))*NORMSDIST(((Model!$C$5*(($C195)+Model!$C$6*(F$192)))-($C$188))/Model!$C$7)+Model!$C$7*EXP(-((((Model!$C$5*(($C195)+Model!$C$6*(F$192)))-($C$188))/Model!$C$7)^2)/2)/SQRT(2*PI()))-(((Model!$C$5*(($C195)+Model!$C$6*(F$192)))-($C$189))*NORMSDIST(((Model!$C$5*(($C195)+Model!$C$6*(F$192)))-($C$189))/Model!$C$7)+Model!$C$7*EXP(-((((Model!$C$5*(($C195)+Model!$C$6*(F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1054.523461045</v>
      </c>
      <c r="N195" s="27" t="n">
        <f aca="false">$C$187+$C$183*((Model!$C$5*(($C195)+Model!$C$6*(G$192)))-(Model!$C$5*(($C$185)+Model!$C$6*($C$186)))-$C$184*(((((Model!$C$5*(($C195)+Model!$C$6*(G$192)))-($C$188))*NORMSDIST(((Model!$C$5*(($C195)+Model!$C$6*(G$192)))-($C$188))/Model!$C$7)+Model!$C$7*EXP(-((((Model!$C$5*(($C195)+Model!$C$6*(G$192)))-($C$188))/Model!$C$7)^2)/2)/SQRT(2*PI()))-(((Model!$C$5*(($C195)+Model!$C$6*(G$192)))-($C$189))*NORMSDIST(((Model!$C$5*(($C195)+Model!$C$6*(G$192)))-($C$189))/Model!$C$7)+Model!$C$7*EXP(-((((Model!$C$5*(($C195)+Model!$C$6*(G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1081.3647582574</v>
      </c>
      <c r="O195" s="27" t="n">
        <f aca="false">$C$187+$C$183*((Model!$C$5*(($C195)+Model!$C$6*(H$192)))-(Model!$C$5*(($C$185)+Model!$C$6*($C$186)))-$C$184*(((((Model!$C$5*(($C195)+Model!$C$6*(H$192)))-($C$188))*NORMSDIST(((Model!$C$5*(($C195)+Model!$C$6*(H$192)))-($C$188))/Model!$C$7)+Model!$C$7*EXP(-((((Model!$C$5*(($C195)+Model!$C$6*(H$192)))-($C$188))/Model!$C$7)^2)/2)/SQRT(2*PI()))-(((Model!$C$5*(($C195)+Model!$C$6*(H$192)))-($C$189))*NORMSDIST(((Model!$C$5*(($C195)+Model!$C$6*(H$192)))-($C$189))/Model!$C$7)+Model!$C$7*EXP(-((((Model!$C$5*(($C195)+Model!$C$6*(H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1113.17816095961</v>
      </c>
      <c r="Q195" s="39" t="n">
        <f aca="false">C195</f>
        <v>94</v>
      </c>
      <c r="R195" s="48" t="n">
        <f aca="false">K195-D195</f>
        <v>6.18886939310596</v>
      </c>
      <c r="S195" s="48" t="n">
        <f aca="false">L195-E195</f>
        <v>0.607466326549002</v>
      </c>
      <c r="T195" s="48" t="n">
        <f aca="false">M195-F195</f>
        <v>-4.4765389549998</v>
      </c>
      <c r="U195" s="48" t="n">
        <f aca="false">N195-G195</f>
        <v>-3.63524174260238</v>
      </c>
      <c r="V195" s="48" t="n">
        <f aca="false">O195-H195</f>
        <v>1.17816095960779</v>
      </c>
    </row>
    <row r="196" customFormat="false" ht="15" hidden="false" customHeight="false" outlineLevel="0" collapsed="false">
      <c r="C196" s="6" t="n">
        <v>84</v>
      </c>
      <c r="D196" s="47" t="n">
        <v>1004</v>
      </c>
      <c r="E196" s="47" t="n">
        <v>1014</v>
      </c>
      <c r="F196" s="47" t="n">
        <v>1036</v>
      </c>
      <c r="G196" s="47" t="n">
        <v>1062</v>
      </c>
      <c r="H196" s="47" t="n">
        <v>1088</v>
      </c>
      <c r="J196" s="39" t="n">
        <f aca="false">C196</f>
        <v>84</v>
      </c>
      <c r="K196" s="27" t="n">
        <f aca="false">$C$187+$C$183*((Model!$C$5*(($C196)+Model!$C$6*(D$192)))-(Model!$C$5*(($C$185)+Model!$C$6*($C$186)))-$C$184*(((((Model!$C$5*(($C196)+Model!$C$6*(D$192)))-($C$188))*NORMSDIST(((Model!$C$5*(($C196)+Model!$C$6*(D$192)))-($C$188))/Model!$C$7)+Model!$C$7*EXP(-((((Model!$C$5*(($C196)+Model!$C$6*(D$192)))-($C$188))/Model!$C$7)^2)/2)/SQRT(2*PI()))-(((Model!$C$5*(($C196)+Model!$C$6*(D$192)))-($C$189))*NORMSDIST(((Model!$C$5*(($C196)+Model!$C$6*(D$192)))-($C$189))/Model!$C$7)+Model!$C$7*EXP(-((((Model!$C$5*(($C196)+Model!$C$6*(D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1007.95600882511</v>
      </c>
      <c r="L196" s="27" t="n">
        <f aca="false">$C$187+$C$183*((Model!$C$5*(($C196)+Model!$C$6*(E$192)))-(Model!$C$5*(($C$185)+Model!$C$6*($C$186)))-$C$184*(((((Model!$C$5*(($C196)+Model!$C$6*(E$192)))-($C$188))*NORMSDIST(((Model!$C$5*(($C196)+Model!$C$6*(E$192)))-($C$188))/Model!$C$7)+Model!$C$7*EXP(-((((Model!$C$5*(($C196)+Model!$C$6*(E$192)))-($C$188))/Model!$C$7)^2)/2)/SQRT(2*PI()))-(((Model!$C$5*(($C196)+Model!$C$6*(E$192)))-($C$189))*NORMSDIST(((Model!$C$5*(($C196)+Model!$C$6*(E$192)))-($C$189))/Model!$C$7)+Model!$C$7*EXP(-((((Model!$C$5*(($C196)+Model!$C$6*(E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1019.93868076464</v>
      </c>
      <c r="M196" s="27" t="n">
        <f aca="false">$C$187+$C$183*((Model!$C$5*(($C196)+Model!$C$6*(F$192)))-(Model!$C$5*(($C$185)+Model!$C$6*($C$186)))-$C$184*(((((Model!$C$5*(($C196)+Model!$C$6*(F$192)))-($C$188))*NORMSDIST(((Model!$C$5*(($C196)+Model!$C$6*(F$192)))-($C$188))/Model!$C$7)+Model!$C$7*EXP(-((((Model!$C$5*(($C196)+Model!$C$6*(F$192)))-($C$188))/Model!$C$7)^2)/2)/SQRT(2*PI()))-(((Model!$C$5*(($C196)+Model!$C$6*(F$192)))-($C$189))*NORMSDIST(((Model!$C$5*(($C196)+Model!$C$6*(F$192)))-($C$189))/Model!$C$7)+Model!$C$7*EXP(-((((Model!$C$5*(($C196)+Model!$C$6*(F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1036</v>
      </c>
      <c r="N196" s="27" t="n">
        <f aca="false">$C$187+$C$183*((Model!$C$5*(($C196)+Model!$C$6*(G$192)))-(Model!$C$5*(($C$185)+Model!$C$6*($C$186)))-$C$184*(((((Model!$C$5*(($C196)+Model!$C$6*(G$192)))-($C$188))*NORMSDIST(((Model!$C$5*(($C196)+Model!$C$6*(G$192)))-($C$188))/Model!$C$7)+Model!$C$7*EXP(-((((Model!$C$5*(($C196)+Model!$C$6*(G$192)))-($C$188))/Model!$C$7)^2)/2)/SQRT(2*PI()))-(((Model!$C$5*(($C196)+Model!$C$6*(G$192)))-($C$189))*NORMSDIST(((Model!$C$5*(($C196)+Model!$C$6*(G$192)))-($C$189))/Model!$C$7)+Model!$C$7*EXP(-((((Model!$C$5*(($C196)+Model!$C$6*(G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1057.69640820868</v>
      </c>
      <c r="O196" s="27" t="n">
        <f aca="false">$C$187+$C$183*((Model!$C$5*(($C196)+Model!$C$6*(H$192)))-(Model!$C$5*(($C$185)+Model!$C$6*($C$186)))-$C$184*(((((Model!$C$5*(($C196)+Model!$C$6*(H$192)))-($C$188))*NORMSDIST(((Model!$C$5*(($C196)+Model!$C$6*(H$192)))-($C$188))/Model!$C$7)+Model!$C$7*EXP(-((((Model!$C$5*(($C196)+Model!$C$6*(H$192)))-($C$188))/Model!$C$7)^2)/2)/SQRT(2*PI()))-(((Model!$C$5*(($C196)+Model!$C$6*(H$192)))-($C$189))*NORMSDIST(((Model!$C$5*(($C196)+Model!$C$6*(H$192)))-($C$189))/Model!$C$7)+Model!$C$7*EXP(-((((Model!$C$5*(($C196)+Model!$C$6*(H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1085.26515586182</v>
      </c>
      <c r="Q196" s="39" t="n">
        <f aca="false">C196</f>
        <v>84</v>
      </c>
      <c r="R196" s="48" t="n">
        <f aca="false">K196-D196</f>
        <v>3.95600882510564</v>
      </c>
      <c r="S196" s="48" t="n">
        <f aca="false">L196-E196</f>
        <v>5.93868076463741</v>
      </c>
      <c r="T196" s="48" t="n">
        <f aca="false">M196-F196</f>
        <v>0</v>
      </c>
      <c r="U196" s="48" t="n">
        <f aca="false">N196-G196</f>
        <v>-4.30359179132097</v>
      </c>
      <c r="V196" s="48" t="n">
        <f aca="false">O196-H196</f>
        <v>-2.7348441381796</v>
      </c>
    </row>
    <row r="197" customFormat="false" ht="15" hidden="false" customHeight="false" outlineLevel="0" collapsed="false">
      <c r="C197" s="6" t="n">
        <v>74</v>
      </c>
      <c r="D197" s="47" t="n">
        <v>995</v>
      </c>
      <c r="E197" s="47" t="n">
        <v>1005</v>
      </c>
      <c r="F197" s="47" t="n">
        <v>1017</v>
      </c>
      <c r="G197" s="47" t="n">
        <v>1039</v>
      </c>
      <c r="H197" s="47" t="n">
        <v>1065</v>
      </c>
      <c r="J197" s="39" t="n">
        <f aca="false">C197</f>
        <v>74</v>
      </c>
      <c r="K197" s="27" t="n">
        <f aca="false">$C$187+$C$183*((Model!$C$5*(($C197)+Model!$C$6*(D$192)))-(Model!$C$5*(($C$185)+Model!$C$6*($C$186)))-$C$184*(((((Model!$C$5*(($C197)+Model!$C$6*(D$192)))-($C$188))*NORMSDIST(((Model!$C$5*(($C197)+Model!$C$6*(D$192)))-($C$188))/Model!$C$7)+Model!$C$7*EXP(-((((Model!$C$5*(($C197)+Model!$C$6*(D$192)))-($C$188))/Model!$C$7)^2)/2)/SQRT(2*PI()))-(((Model!$C$5*(($C197)+Model!$C$6*(D$192)))-($C$189))*NORMSDIST(((Model!$C$5*(($C197)+Model!$C$6*(D$192)))-($C$189))/Model!$C$7)+Model!$C$7*EXP(-((((Model!$C$5*(($C197)+Model!$C$6*(D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999.083255789399</v>
      </c>
      <c r="L197" s="27" t="n">
        <f aca="false">$C$187+$C$183*((Model!$C$5*(($C197)+Model!$C$6*(E$192)))-(Model!$C$5*(($C$185)+Model!$C$6*($C$186)))-$C$184*(((((Model!$C$5*(($C197)+Model!$C$6*(E$192)))-($C$188))*NORMSDIST(((Model!$C$5*(($C197)+Model!$C$6*(E$192)))-($C$188))/Model!$C$7)+Model!$C$7*EXP(-((((Model!$C$5*(($C197)+Model!$C$6*(E$192)))-($C$188))/Model!$C$7)^2)/2)/SQRT(2*PI()))-(((Model!$C$5*(($C197)+Model!$C$6*(E$192)))-($C$189))*NORMSDIST(((Model!$C$5*(($C197)+Model!$C$6*(E$192)))-($C$189))/Model!$C$7)+Model!$C$7*EXP(-((((Model!$C$5*(($C197)+Model!$C$6*(E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1009.36483948058</v>
      </c>
      <c r="M197" s="27" t="n">
        <f aca="false">$C$187+$C$183*((Model!$C$5*(($C197)+Model!$C$6*(F$192)))-(Model!$C$5*(($C$185)+Model!$C$6*($C$186)))-$C$184*(((((Model!$C$5*(($C197)+Model!$C$6*(F$192)))-($C$188))*NORMSDIST(((Model!$C$5*(($C197)+Model!$C$6*(F$192)))-($C$188))/Model!$C$7)+Model!$C$7*EXP(-((((Model!$C$5*(($C197)+Model!$C$6*(F$192)))-($C$188))/Model!$C$7)^2)/2)/SQRT(2*PI()))-(((Model!$C$5*(($C197)+Model!$C$6*(F$192)))-($C$189))*NORMSDIST(((Model!$C$5*(($C197)+Model!$C$6*(F$192)))-($C$189))/Model!$C$7)+Model!$C$7*EXP(-((((Model!$C$5*(($C197)+Model!$C$6*(F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1021.75886439943</v>
      </c>
      <c r="N197" s="27" t="n">
        <f aca="false">$C$187+$C$183*((Model!$C$5*(($C197)+Model!$C$6*(G$192)))-(Model!$C$5*(($C$185)+Model!$C$6*($C$186)))-$C$184*(((((Model!$C$5*(($C197)+Model!$C$6*(G$192)))-($C$188))*NORMSDIST(((Model!$C$5*(($C197)+Model!$C$6*(G$192)))-($C$188))/Model!$C$7)+Model!$C$7*EXP(-((((Model!$C$5*(($C197)+Model!$C$6*(G$192)))-($C$188))/Model!$C$7)^2)/2)/SQRT(2*PI()))-(((Model!$C$5*(($C197)+Model!$C$6*(G$192)))-($C$189))*NORMSDIST(((Model!$C$5*(($C197)+Model!$C$6*(G$192)))-($C$189))/Model!$C$7)+Model!$C$7*EXP(-((((Model!$C$5*(($C197)+Model!$C$6*(G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1038.49036969176</v>
      </c>
      <c r="O197" s="27" t="n">
        <f aca="false">$C$187+$C$183*((Model!$C$5*(($C197)+Model!$C$6*(H$192)))-(Model!$C$5*(($C$185)+Model!$C$6*($C$186)))-$C$184*(((((Model!$C$5*(($C197)+Model!$C$6*(H$192)))-($C$188))*NORMSDIST(((Model!$C$5*(($C197)+Model!$C$6*(H$192)))-($C$188))/Model!$C$7)+Model!$C$7*EXP(-((((Model!$C$5*(($C197)+Model!$C$6*(H$192)))-($C$188))/Model!$C$7)^2)/2)/SQRT(2*PI()))-(((Model!$C$5*(($C197)+Model!$C$6*(H$192)))-($C$189))*NORMSDIST(((Model!$C$5*(($C197)+Model!$C$6*(H$192)))-($C$189))/Model!$C$7)+Model!$C$7*EXP(-((((Model!$C$5*(($C197)+Model!$C$6*(H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1060.97128904291</v>
      </c>
      <c r="Q197" s="39" t="n">
        <f aca="false">C197</f>
        <v>74</v>
      </c>
      <c r="R197" s="48" t="n">
        <f aca="false">K197-D197</f>
        <v>4.083255789399</v>
      </c>
      <c r="S197" s="48" t="n">
        <f aca="false">L197-E197</f>
        <v>4.36483948057821</v>
      </c>
      <c r="T197" s="48" t="n">
        <f aca="false">M197-F197</f>
        <v>4.75886439942997</v>
      </c>
      <c r="U197" s="48" t="n">
        <f aca="false">N197-G197</f>
        <v>-0.509630308241867</v>
      </c>
      <c r="V197" s="48" t="n">
        <f aca="false">O197-H197</f>
        <v>-4.02871095709043</v>
      </c>
    </row>
    <row r="198" customFormat="false" ht="15" hidden="false" customHeight="false" outlineLevel="0" collapsed="false">
      <c r="C198" s="6" t="n">
        <v>64</v>
      </c>
      <c r="D198" s="47" t="n">
        <v>981</v>
      </c>
      <c r="E198" s="47" t="n">
        <v>991</v>
      </c>
      <c r="F198" s="47" t="n">
        <v>1003</v>
      </c>
      <c r="G198" s="47" t="n">
        <v>1018</v>
      </c>
      <c r="H198" s="47" t="n">
        <v>1040</v>
      </c>
      <c r="J198" s="39" t="n">
        <f aca="false">C198</f>
        <v>64</v>
      </c>
      <c r="K198" s="27" t="n">
        <f aca="false">$C$187+$C$183*((Model!$C$5*(($C198)+Model!$C$6*(D$192)))-(Model!$C$5*(($C$185)+Model!$C$6*($C$186)))-$C$184*(((((Model!$C$5*(($C198)+Model!$C$6*(D$192)))-($C$188))*NORMSDIST(((Model!$C$5*(($C198)+Model!$C$6*(D$192)))-($C$188))/Model!$C$7)+Model!$C$7*EXP(-((((Model!$C$5*(($C198)+Model!$C$6*(D$192)))-($C$188))/Model!$C$7)^2)/2)/SQRT(2*PI()))-(((Model!$C$5*(($C198)+Model!$C$6*(D$192)))-($C$189))*NORMSDIST(((Model!$C$5*(($C198)+Model!$C$6*(D$192)))-($C$189))/Model!$C$7)+Model!$C$7*EXP(-((((Model!$C$5*(($C198)+Model!$C$6*(D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989.936350993441</v>
      </c>
      <c r="L198" s="27" t="n">
        <f aca="false">$C$187+$C$183*((Model!$C$5*(($C198)+Model!$C$6*(E$192)))-(Model!$C$5*(($C$185)+Model!$C$6*($C$186)))-$C$184*(((((Model!$C$5*(($C198)+Model!$C$6*(E$192)))-($C$188))*NORMSDIST(((Model!$C$5*(($C198)+Model!$C$6*(E$192)))-($C$188))/Model!$C$7)+Model!$C$7*EXP(-((((Model!$C$5*(($C198)+Model!$C$6*(E$192)))-($C$188))/Model!$C$7)^2)/2)/SQRT(2*PI()))-(((Model!$C$5*(($C198)+Model!$C$6*(E$192)))-($C$189))*NORMSDIST(((Model!$C$5*(($C198)+Model!$C$6*(E$192)))-($C$189))/Model!$C$7)+Model!$C$7*EXP(-((((Model!$C$5*(($C198)+Model!$C$6*(E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1000.39145494333</v>
      </c>
      <c r="M198" s="27" t="n">
        <f aca="false">$C$187+$C$183*((Model!$C$5*(($C198)+Model!$C$6*(F$192)))-(Model!$C$5*(($C$185)+Model!$C$6*($C$186)))-$C$184*(((((Model!$C$5*(($C198)+Model!$C$6*(F$192)))-($C$188))*NORMSDIST(((Model!$C$5*(($C198)+Model!$C$6*(F$192)))-($C$188))/Model!$C$7)+Model!$C$7*EXP(-((((Model!$C$5*(($C198)+Model!$C$6*(F$192)))-($C$188))/Model!$C$7)^2)/2)/SQRT(2*PI()))-(((Model!$C$5*(($C198)+Model!$C$6*(F$192)))-($C$189))*NORMSDIST(((Model!$C$5*(($C198)+Model!$C$6*(F$192)))-($C$189))/Model!$C$7)+Model!$C$7*EXP(-((((Model!$C$5*(($C198)+Model!$C$6*(F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1010.80987823494</v>
      </c>
      <c r="N198" s="27" t="n">
        <f aca="false">$C$187+$C$183*((Model!$C$5*(($C198)+Model!$C$6*(G$192)))-(Model!$C$5*(($C$185)+Model!$C$6*($C$186)))-$C$184*(((((Model!$C$5*(($C198)+Model!$C$6*(G$192)))-($C$188))*NORMSDIST(((Model!$C$5*(($C198)+Model!$C$6*(G$192)))-($C$188))/Model!$C$7)+Model!$C$7*EXP(-((((Model!$C$5*(($C198)+Model!$C$6*(G$192)))-($C$188))/Model!$C$7)^2)/2)/SQRT(2*PI()))-(((Model!$C$5*(($C198)+Model!$C$6*(G$192)))-($C$189))*NORMSDIST(((Model!$C$5*(($C198)+Model!$C$6*(G$192)))-($C$189))/Model!$C$7)+Model!$C$7*EXP(-((((Model!$C$5*(($C198)+Model!$C$6*(G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1023.65396281825</v>
      </c>
      <c r="O198" s="27" t="n">
        <f aca="false">$C$187+$C$183*((Model!$C$5*(($C198)+Model!$C$6*(H$192)))-(Model!$C$5*(($C$185)+Model!$C$6*($C$186)))-$C$184*(((((Model!$C$5*(($C198)+Model!$C$6*(H$192)))-($C$188))*NORMSDIST(((Model!$C$5*(($C198)+Model!$C$6*(H$192)))-($C$188))/Model!$C$7)+Model!$C$7*EXP(-((((Model!$C$5*(($C198)+Model!$C$6*(H$192)))-($C$188))/Model!$C$7)^2)/2)/SQRT(2*PI()))-(((Model!$C$5*(($C198)+Model!$C$6*(H$192)))-($C$189))*NORMSDIST(((Model!$C$5*(($C198)+Model!$C$6*(H$192)))-($C$189))/Model!$C$7)+Model!$C$7*EXP(-((((Model!$C$5*(($C198)+Model!$C$6*(H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1041.08060179172</v>
      </c>
      <c r="Q198" s="39" t="n">
        <f aca="false">C198</f>
        <v>64</v>
      </c>
      <c r="R198" s="48" t="n">
        <f aca="false">K198-D198</f>
        <v>8.93635099344056</v>
      </c>
      <c r="S198" s="48" t="n">
        <f aca="false">L198-E198</f>
        <v>9.39145494332945</v>
      </c>
      <c r="T198" s="48" t="n">
        <f aca="false">M198-F198</f>
        <v>7.80987823493831</v>
      </c>
      <c r="U198" s="48" t="n">
        <f aca="false">N198-G198</f>
        <v>5.65396281825315</v>
      </c>
      <c r="V198" s="48" t="n">
        <f aca="false">O198-H198</f>
        <v>1.08060179171821</v>
      </c>
    </row>
    <row r="199" customFormat="false" ht="15" hidden="false" customHeight="false" outlineLevel="0" collapsed="false">
      <c r="C199" s="6" t="n">
        <v>54</v>
      </c>
      <c r="D199" s="47" t="n">
        <v>968</v>
      </c>
      <c r="E199" s="47" t="n">
        <v>978</v>
      </c>
      <c r="F199" s="47" t="n">
        <v>990</v>
      </c>
      <c r="G199" s="47" t="n">
        <v>1006</v>
      </c>
      <c r="H199" s="47" t="n">
        <v>1026</v>
      </c>
      <c r="J199" s="39" t="n">
        <f aca="false">C199</f>
        <v>54</v>
      </c>
      <c r="K199" s="27" t="n">
        <f aca="false">$C$187+$C$183*((Model!$C$5*(($C199)+Model!$C$6*(D$192)))-(Model!$C$5*(($C$185)+Model!$C$6*($C$186)))-$C$184*(((((Model!$C$5*(($C199)+Model!$C$6*(D$192)))-($C$188))*NORMSDIST(((Model!$C$5*(($C199)+Model!$C$6*(D$192)))-($C$188))/Model!$C$7)+Model!$C$7*EXP(-((((Model!$C$5*(($C199)+Model!$C$6*(D$192)))-($C$188))/Model!$C$7)^2)/2)/SQRT(2*PI()))-(((Model!$C$5*(($C199)+Model!$C$6*(D$192)))-($C$189))*NORMSDIST(((Model!$C$5*(($C199)+Model!$C$6*(D$192)))-($C$189))/Model!$C$7)+Model!$C$7*EXP(-((((Model!$C$5*(($C199)+Model!$C$6*(D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978.898181836788</v>
      </c>
      <c r="L199" s="27" t="n">
        <f aca="false">$C$187+$C$183*((Model!$C$5*(($C199)+Model!$C$6*(E$192)))-(Model!$C$5*(($C$185)+Model!$C$6*($C$186)))-$C$184*(((((Model!$C$5*(($C199)+Model!$C$6*(E$192)))-($C$188))*NORMSDIST(((Model!$C$5*(($C199)+Model!$C$6*(E$192)))-($C$188))/Model!$C$7)+Model!$C$7*EXP(-((((Model!$C$5*(($C199)+Model!$C$6*(E$192)))-($C$188))/Model!$C$7)^2)/2)/SQRT(2*PI()))-(((Model!$C$5*(($C199)+Model!$C$6*(E$192)))-($C$189))*NORMSDIST(((Model!$C$5*(($C199)+Model!$C$6*(E$192)))-($C$189))/Model!$C$7)+Model!$C$7*EXP(-((((Model!$C$5*(($C199)+Model!$C$6*(E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991.390298757409</v>
      </c>
      <c r="M199" s="27" t="n">
        <f aca="false">$C$187+$C$183*((Model!$C$5*(($C199)+Model!$C$6*(F$192)))-(Model!$C$5*(($C$185)+Model!$C$6*($C$186)))-$C$184*(((((Model!$C$5*(($C199)+Model!$C$6*(F$192)))-($C$188))*NORMSDIST(((Model!$C$5*(($C199)+Model!$C$6*(F$192)))-($C$188))/Model!$C$7)+Model!$C$7*EXP(-((((Model!$C$5*(($C199)+Model!$C$6*(F$192)))-($C$188))/Model!$C$7)^2)/2)/SQRT(2*PI()))-(((Model!$C$5*(($C199)+Model!$C$6*(F$192)))-($C$189))*NORMSDIST(((Model!$C$5*(($C199)+Model!$C$6*(F$192)))-($C$189))/Model!$C$7)+Model!$C$7*EXP(-((((Model!$C$5*(($C199)+Model!$C$6*(F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1001.69902718253</v>
      </c>
      <c r="N199" s="27" t="n">
        <f aca="false">$C$187+$C$183*((Model!$C$5*(($C199)+Model!$C$6*(G$192)))-(Model!$C$5*(($C$185)+Model!$C$6*($C$186)))-$C$184*(((((Model!$C$5*(($C199)+Model!$C$6*(G$192)))-($C$188))*NORMSDIST(((Model!$C$5*(($C199)+Model!$C$6*(G$192)))-($C$188))/Model!$C$7)+Model!$C$7*EXP(-((((Model!$C$5*(($C199)+Model!$C$6*(G$192)))-($C$188))/Model!$C$7)^2)/2)/SQRT(2*PI()))-(((Model!$C$5*(($C199)+Model!$C$6*(G$192)))-($C$189))*NORMSDIST(((Model!$C$5*(($C199)+Model!$C$6*(G$192)))-($C$189))/Model!$C$7)+Model!$C$7*EXP(-((((Model!$C$5*(($C199)+Model!$C$6*(G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1012.29652948703</v>
      </c>
      <c r="O199" s="27" t="n">
        <f aca="false">$C$187+$C$183*((Model!$C$5*(($C199)+Model!$C$6*(H$192)))-(Model!$C$5*(($C$185)+Model!$C$6*($C$186)))-$C$184*(((((Model!$C$5*(($C199)+Model!$C$6*(H$192)))-($C$188))*NORMSDIST(((Model!$C$5*(($C199)+Model!$C$6*(H$192)))-($C$188))/Model!$C$7)+Model!$C$7*EXP(-((((Model!$C$5*(($C199)+Model!$C$6*(H$192)))-($C$188))/Model!$C$7)^2)/2)/SQRT(2*PI()))-(((Model!$C$5*(($C199)+Model!$C$6*(H$192)))-($C$189))*NORMSDIST(((Model!$C$5*(($C199)+Model!$C$6*(H$192)))-($C$189))/Model!$C$7)+Model!$C$7*EXP(-((((Model!$C$5*(($C199)+Model!$C$6*(H$192)))-($C$189))/Model!$C$7)^2)/2)/SQRT(2*PI())))-((((Model!$C$5*(($C$185)+Model!$C$6*($C$186)))-($C$188))*NORMSDIST(((Model!$C$5*(($C$185)+Model!$C$6*($C$186)))-($C$188))/Model!$C$7)+Model!$C$7*EXP(-((((Model!$C$5*(($C$185)+Model!$C$6*($C$186)))-($C$188))/Model!$C$7)^2)/2)/SQRT(2*PI()))-(((Model!$C$5*(($C$185)+Model!$C$6*($C$186)))-($C$189))*NORMSDIST(((Model!$C$5*(($C$185)+Model!$C$6*($C$186)))-($C$189))/Model!$C$7)+Model!$C$7*EXP(-((((Model!$C$5*(($C$185)+Model!$C$6*($C$186)))-($C$189))/Model!$C$7)^2)/2)/SQRT(2*PI())))))</f>
        <v>1025.62828690368</v>
      </c>
      <c r="Q199" s="39" t="n">
        <f aca="false">C199</f>
        <v>54</v>
      </c>
      <c r="R199" s="48" t="n">
        <f aca="false">K199-D199</f>
        <v>10.8981818367881</v>
      </c>
      <c r="S199" s="48" t="n">
        <f aca="false">L199-E199</f>
        <v>13.3902987574088</v>
      </c>
      <c r="T199" s="48" t="n">
        <f aca="false">M199-F199</f>
        <v>11.6990271825266</v>
      </c>
      <c r="U199" s="48" t="n">
        <f aca="false">N199-G199</f>
        <v>6.29652948702676</v>
      </c>
      <c r="V199" s="48" t="n">
        <f aca="false">O199-H199</f>
        <v>-0.371713096320491</v>
      </c>
    </row>
    <row r="200" customFormat="false" ht="15" hidden="false" customHeight="false" outlineLevel="0" collapsed="false">
      <c r="B200" s="49" t="s">
        <v>146</v>
      </c>
      <c r="C200" s="50" t="n">
        <f aca="false">($C$187+$C$183*(1-$C$184)*Model!$C$5*((C193-$C$185)+(D192-$C$186))-D193)^2+($C$187+$C$183*(1-$C$184)*Model!$C$5*((C193-$C$185)+(E192-$C$186))-E193)^2+($C$187+$C$183*(1-$C$184)*Model!$C$5*((C193-$C$185)+(F192-$C$186))-F193)^2+($C$187+$C$183*(1-$C$184)*Model!$C$5*((C193-$C$185)+(G192-$C$186))-G193)^2+($C$187+$C$183*(1-$C$184)*Model!$C$5*((C193-$C$185)+(H192-$C$186))-H193)^2+($C$187+$C$183*(1-$C$184)*Model!$C$5*((C194-$C$185)+(D192-$C$186))-D194)^2+($C$187+$C$183*(1-$C$184)*Model!$C$5*((C194-$C$185)+(E192-$C$186))-E194)^2+($C$187+$C$183*(1-$C$184)*Model!$C$5*((C194-$C$185)+(F192-$C$186))-F194)^2+($C$187+$C$183*(1-$C$184)*Model!$C$5*((C194-$C$185)+(G192-$C$186))-G194)^2+($C$187+$C$183*(1-$C$184)*Model!$C$5*((C194-$C$185)+(H192-$C$186))-H194)^2+($C$187+$C$183*(1-$C$184)*Model!$C$5*((C195-$C$185)+(D192-$C$186))-D195)^2+($C$187+$C$183*(1-$C$184)*Model!$C$5*((C195-$C$185)+(E192-$C$186))-E195)^2+($C$187+$C$183*(1-$C$184)*Model!$C$5*((C195-$C$185)+(F192-$C$186))-F195)^2+($C$187+$C$183*(1-$C$184)*Model!$C$5*((C195-$C$185)+(G192-$C$186))-G195)^2+($C$187+$C$183*(1-$C$184)*Model!$C$5*((C195-$C$185)+(H192-$C$186))-H195)^2+($C$187+$C$183*(1-$C$184)*Model!$C$5*((C196-$C$185)+(D192-$C$186))-D196)^2+($C$187+$C$183*(1-$C$184)*Model!$C$5*((C196-$C$185)+(E192-$C$186))-E196)^2+($C$187+$C$183*(1-$C$184)*Model!$C$5*((C196-$C$185)+(F192-$C$186))-F196)^2+($C$187+$C$183*(1-$C$184)*Model!$C$5*((C196-$C$185)+(G192-$C$186))-G196)^2+($C$187+$C$183*(1-$C$184)*Model!$C$5*((C196-$C$185)+(H192-$C$186))-H196)^2+($C$187+$C$183*(1-$C$184)*Model!$C$5*((C197-$C$185)+(D192-$C$186))-D197)^2+($C$187+$C$183*(1-$C$184)*Model!$C$5*((C197-$C$185)+(E192-$C$186))-E197)^2+($C$187+$C$183*(1-$C$184)*Model!$C$5*((C197-$C$185)+(F192-$C$186))-F197)^2+($C$187+$C$183*(1-$C$184)*Model!$C$5*((C197-$C$185)+(G192-$C$186))-G197)^2+($C$187+$C$183*(1-$C$184)*Model!$C$5*((C197-$C$185)+(H192-$C$186))-H197)^2+($C$187+$C$183*(1-$C$184)*Model!$C$5*((C198-$C$185)+(D192-$C$186))-D198)^2+($C$187+$C$183*(1-$C$184)*Model!$C$5*((C198-$C$185)+(E192-$C$186))-E198)^2+($C$187+$C$183*(1-$C$184)*Model!$C$5*((C198-$C$185)+(F192-$C$186))-F198)^2+($C$187+$C$183*(1-$C$184)*Model!$C$5*((C198-$C$185)+(G192-$C$186))-G198)^2+($C$187+$C$183*(1-$C$184)*Model!$C$5*((C198-$C$185)+(H192-$C$186))-H198)^2+($C$187+$C$183*(1-$C$184)*Model!$C$5*((C199-$C$185)+(D192-$C$186))-D199)^2+($C$187+$C$183*(1-$C$184)*Model!$C$5*((C199-$C$185)+(E192-$C$186))-E199)^2+($C$187+$C$183*(1-$C$184)*Model!$C$5*((C199-$C$185)+(F192-$C$186))-F199)^2+($C$187+$C$183*(1-$C$184)*Model!$C$5*((C199-$C$185)+(G192-$C$186))-G199)^2+($C$187+$C$183*(1-$C$184)*Model!$C$5*((C199-$C$185)+(H192-$C$186))-H199)^2</f>
        <v>44280.7452500001</v>
      </c>
    </row>
  </sheetData>
  <hyperlinks>
    <hyperlink ref="C17" r:id="rId2" display="Source: Q3 2024 results presentation"/>
    <hyperlink ref="C42" r:id="rId3" display="Source: FY 2024 results presentation (Mar 2025)"/>
    <hyperlink ref="C65" r:id="rId4" display="Source: Q1 2025 results presentation"/>
    <hyperlink ref="C88" r:id="rId5" display="Source: Q2 2025 results presentation"/>
    <hyperlink ref="C111" r:id="rId6" display="Source: Q3 2025 results presentation"/>
    <hyperlink ref="C134" r:id="rId7" display="Source: FY 2025 results presentation (Apr 2026)"/>
    <hyperlink ref="C157" r:id="rId8" display="Source: Q1 2026 results presentation"/>
    <hyperlink ref="C180" r:id="rId9" display="Source: Q2 2026 results presentat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0"/>
  </cols>
  <sheetData>
    <row r="2" customFormat="false" ht="15" hidden="false" customHeight="false" outlineLevel="0" collapsed="false">
      <c r="B2" s="51" t="s">
        <v>154</v>
      </c>
    </row>
    <row r="3" customFormat="false" ht="26.85" hidden="false" customHeight="false" outlineLevel="0" collapsed="false">
      <c r="B3" s="52" t="s">
        <v>155</v>
      </c>
    </row>
    <row r="4" customFormat="false" ht="15" hidden="false" customHeight="false" outlineLevel="0" collapsed="false">
      <c r="B4" s="52" t="s">
        <v>156</v>
      </c>
    </row>
    <row r="5" customFormat="false" ht="15" hidden="false" customHeight="false" outlineLevel="0" collapsed="false">
      <c r="B5" s="52" t="s">
        <v>157</v>
      </c>
    </row>
    <row r="6" customFormat="false" ht="15" hidden="false" customHeight="false" outlineLevel="0" collapsed="false">
      <c r="B6" s="52" t="s">
        <v>158</v>
      </c>
    </row>
    <row r="7" customFormat="false" ht="15" hidden="false" customHeight="false" outlineLevel="0" collapsed="false">
      <c r="B7" s="52" t="s">
        <v>159</v>
      </c>
    </row>
    <row r="8" customFormat="false" ht="15" hidden="false" customHeight="false" outlineLevel="0" collapsed="false">
      <c r="B8" s="52" t="s">
        <v>160</v>
      </c>
    </row>
    <row r="9" customFormat="false" ht="26.85" hidden="false" customHeight="false" outlineLevel="0" collapsed="false">
      <c r="B9" s="52" t="s">
        <v>161</v>
      </c>
    </row>
    <row r="10" customFormat="false" ht="26.85" hidden="false" customHeight="false" outlineLevel="0" collapsed="false">
      <c r="B10" s="52" t="s">
        <v>162</v>
      </c>
    </row>
    <row r="11" customFormat="false" ht="26.85" hidden="false" customHeight="false" outlineLevel="0" collapsed="false">
      <c r="B11" s="52" t="s">
        <v>163</v>
      </c>
    </row>
    <row r="12" customFormat="false" ht="15" hidden="false" customHeight="false" outlineLevel="0" collapsed="false">
      <c r="B12" s="52"/>
    </row>
    <row r="13" customFormat="false" ht="15" hidden="false" customHeight="false" outlineLevel="0" collapsed="false">
      <c r="B13" s="51" t="s">
        <v>164</v>
      </c>
    </row>
    <row r="14" customFormat="false" ht="26.85" hidden="false" customHeight="false" outlineLevel="0" collapsed="false">
      <c r="B14" s="52" t="s">
        <v>165</v>
      </c>
    </row>
    <row r="15" customFormat="false" ht="26.85" hidden="false" customHeight="false" outlineLevel="0" collapsed="false">
      <c r="B15" s="52" t="s">
        <v>166</v>
      </c>
    </row>
    <row r="16" customFormat="false" ht="15" hidden="false" customHeight="false" outlineLevel="0" collapsed="false">
      <c r="B16" s="52" t="s">
        <v>167</v>
      </c>
    </row>
    <row r="17" customFormat="false" ht="15" hidden="false" customHeight="false" outlineLevel="0" collapsed="false">
      <c r="B17" s="52"/>
    </row>
    <row r="18" customFormat="false" ht="15" hidden="false" customHeight="false" outlineLevel="0" collapsed="false">
      <c r="B18" s="51" t="s">
        <v>168</v>
      </c>
    </row>
    <row r="19" customFormat="false" ht="26.85" hidden="false" customHeight="false" outlineLevel="0" collapsed="false">
      <c r="B19" s="52" t="s">
        <v>169</v>
      </c>
    </row>
    <row r="20" customFormat="false" ht="26.85" hidden="false" customHeight="false" outlineLevel="0" collapsed="false">
      <c r="B20" s="52" t="s">
        <v>170</v>
      </c>
    </row>
    <row r="21" customFormat="false" ht="26.85" hidden="false" customHeight="false" outlineLevel="0" collapsed="false">
      <c r="B21" s="52" t="s">
        <v>171</v>
      </c>
    </row>
    <row r="22" customFormat="false" ht="15" hidden="false" customHeight="false" outlineLevel="0" collapsed="false">
      <c r="B22" s="52"/>
    </row>
    <row r="23" customFormat="false" ht="15" hidden="false" customHeight="false" outlineLevel="0" collapsed="false">
      <c r="B23" s="51" t="s">
        <v>172</v>
      </c>
    </row>
    <row r="24" customFormat="false" ht="15" hidden="false" customHeight="false" outlineLevel="0" collapsed="false">
      <c r="B24" s="43" t="s">
        <v>173</v>
      </c>
    </row>
    <row r="25" customFormat="false" ht="15" hidden="false" customHeight="false" outlineLevel="0" collapsed="false">
      <c r="B25" s="43" t="s">
        <v>174</v>
      </c>
    </row>
    <row r="26" customFormat="false" ht="15" hidden="false" customHeight="false" outlineLevel="0" collapsed="false">
      <c r="B26" s="43" t="s">
        <v>175</v>
      </c>
    </row>
    <row r="27" customFormat="false" ht="15" hidden="false" customHeight="false" outlineLevel="0" collapsed="false">
      <c r="B27" s="43" t="s">
        <v>176</v>
      </c>
    </row>
    <row r="28" customFormat="false" ht="15" hidden="false" customHeight="false" outlineLevel="0" collapsed="false">
      <c r="B28" s="43" t="s">
        <v>177</v>
      </c>
    </row>
    <row r="29" customFormat="false" ht="15" hidden="false" customHeight="false" outlineLevel="0" collapsed="false">
      <c r="B29" s="43" t="s">
        <v>178</v>
      </c>
    </row>
    <row r="30" customFormat="false" ht="15" hidden="false" customHeight="false" outlineLevel="0" collapsed="false">
      <c r="B30" s="43" t="s">
        <v>179</v>
      </c>
    </row>
    <row r="31" customFormat="false" ht="15" hidden="false" customHeight="false" outlineLevel="0" collapsed="false">
      <c r="B31" s="43" t="s">
        <v>180</v>
      </c>
    </row>
    <row r="32" customFormat="false" ht="15" hidden="false" customHeight="false" outlineLevel="0" collapsed="false">
      <c r="B32" s="43" t="s">
        <v>181</v>
      </c>
    </row>
  </sheetData>
  <hyperlinks>
    <hyperlink ref="B24" r:id="rId1" display="FY24@2024-10-22: Lufthansa Group Q3 2024 results presentation"/>
    <hyperlink ref="B25" r:id="rId2" display="FY25@2025-02-28: Lufthansa Group FY 2024 results presentation (Mar 2025)"/>
    <hyperlink ref="B26" r:id="rId3" display="FY25@2025-04-24: Lufthansa Group Q1 2025 results presentation"/>
    <hyperlink ref="B27" r:id="rId4" display="FY25@2025-07-25: Lufthansa Group Q2 2025 results presentation"/>
    <hyperlink ref="B28" r:id="rId5" display="FY25@2025-10-24: Lufthansa Group Q3 2025 results presentation"/>
    <hyperlink ref="B29" r:id="rId6" display="FY26@2026-02-28: Lufthansa Group FY 2025 results presentation (Apr 2026)"/>
    <hyperlink ref="B30" r:id="rId7" display="FY26@2026-04-30: Lufthansa Group Q1 2026 results presentation"/>
    <hyperlink ref="B31" r:id="rId8" display="FY26@2026-07-27: Lufthansa Group Q2 2026 results presentation"/>
    <hyperlink ref="B32" r:id="rId9" display="Barrels-per-tonne check: Lufthansa Group 2nd Interim Report Jan–Jun 20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2026-10-28T11:00:56Z</dcterms:created>
  <dc:creator>openpyxl</dc:creator>
  <dc:description/>
  <dc:language>en-US</dc:language>
  <cp:lastModifiedBy/>
  <dcterms:modified xsi:type="dcterms:W3CDTF">2026-10-28T11:00:56Z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