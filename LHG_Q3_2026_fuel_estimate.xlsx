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<sst xmlns="http://schemas.openxmlformats.org/spreadsheetml/2006/main" count="58" uniqueCount="54">
  <si>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Lufthansa Group – Q3 2026 fossil fuel cost estimate</t>
  </si>
  <si>
    <t xml:space="preserve">Blue = input · black = formula · yellow = result</t>
  </si>
  <si>
    <t xml:space="preserve">Q3 market inputs</t>
  </si>
  <si>
    <t xml:space="preserve">Q3 average Brent ($/bbl)</t>
  </si>
  <si>
    <t xml:space="preserve">User input</t>
  </si>
  <si>
    <t xml:space="preserve">Q3 average jet crack ($/bbl)</t>
  </si>
  <si>
    <t xml:space="preserve">Q3 average USD/EUR</t>
  </si>
  <si>
    <t xml:space="preserve">FRED EXUSEU: Jul 1.1423, Aug 1.1594, Sep 1.1505</t>
  </si>
  <si>
    <t xml:space="preserve">Company inputs (Q2-26 results presentation, 27 Jul 2026)</t>
  </si>
  <si>
    <t xml:space="preserve">Q3 jet fuel volume (mt)</t>
  </si>
  <si>
    <t xml:space="preserve">Hedge table, Q3 '26 column</t>
  </si>
  <si>
    <t xml:space="preserve">Q3 hedge ratio h</t>
  </si>
  <si>
    <t xml:space="preserve">Q3 mandatory SAF (€m)</t>
  </si>
  <si>
    <t xml:space="preserve">Hedge table: residual cost for mandatory SAF €0.06bn</t>
  </si>
  <si>
    <t xml:space="preserve">Company Q3 guidance: post-hedge price ($/t)</t>
  </si>
  <si>
    <t xml:space="preserve">Hedge table</t>
  </si>
  <si>
    <t xml:space="preserve">Company Q3 guidance: fossil fuel cost (€m)</t>
  </si>
  <si>
    <t xml:space="preserve">Model parameters (calibrated on Lufthansa sensitivity grids)</t>
  </si>
  <si>
    <t xml:space="preserve">Barrels per tonne (k)</t>
  </si>
  <si>
    <t xml:space="preserve">Standard jet conversion</t>
  </si>
  <si>
    <t xml:space="preserve">Crack weight (w)</t>
  </si>
  <si>
    <t xml:space="preserve">Fitted to 8 published grids, 2024–26</t>
  </si>
  <si>
    <t xml:space="preserve">Strike dispersion σ ($/t)</t>
  </si>
  <si>
    <t xml:space="preserve">Fitted: smooths the layered hedge book</t>
  </si>
  <si>
    <t xml:space="preserve">Lower strike K1 ($/t)</t>
  </si>
  <si>
    <t xml:space="preserve">Fitted FY26 call-spread strike</t>
  </si>
  <si>
    <t xml:space="preserve">Upper strike K2 ($/t)</t>
  </si>
  <si>
    <t xml:space="preserve">Level offset A ($/t)</t>
  </si>
  <si>
    <t xml:space="preserve">Into-plane cost and option premium; set so FY26 matches 1,036 $/t</t>
  </si>
  <si>
    <t xml:space="preserve">Model bias at company's own Q3 inputs ($/t)</t>
  </si>
  <si>
    <t xml:space="preserve">Model gives 997 vs company 1,005 at 27-Jul inputs (Jul realised, Aug–Sep 84/64)</t>
  </si>
  <si>
    <t xml:space="preserve">Calculation</t>
  </si>
  <si>
    <t xml:space="preserve">Jet price J = k·(Brent + w·crack) ($/t)</t>
  </si>
  <si>
    <t xml:space="preserve">Hedge protection Prot(J) ($/t hedged)</t>
  </si>
  <si>
    <t xml:space="preserve">Prot = SC(J,K1) − SC(J,K2);  SC(x,K) = (x−K)·Φ((x−K)/σ) + σ·φ((x−K)/σ)</t>
  </si>
  <si>
    <t xml:space="preserve">Hedge delta Δ</t>
  </si>
  <si>
    <t xml:space="preserve">Share of a price move the hedges absorb</t>
  </si>
  <si>
    <t xml:space="preserve">Post-hedge price P = J + A − h·Prot ($/t)</t>
  </si>
  <si>
    <t xml:space="preserve">Result</t>
  </si>
  <si>
    <t xml:space="preserve">Q3 fossil fuel cost (€m)</t>
  </si>
  <si>
    <t xml:space="preserve">Volume × P ÷ USD/EUR</t>
  </si>
  <si>
    <t xml:space="preserve">Q3 fossil fuel cost, bias-adjusted (€m)</t>
  </si>
  <si>
    <t xml:space="preserve">Adds back the model's −7.9 $/t shortfall at the company's own inputs</t>
  </si>
  <si>
    <t xml:space="preserve">Q3 total fuel expense incl. SAF (€m)</t>
  </si>
  <si>
    <t xml:space="preserve">Versus company guidance, fossil (€m)</t>
  </si>
  <si>
    <t xml:space="preserve">€m per +$10/bbl Brent</t>
  </si>
  <si>
    <t xml:space="preserve">€m per +$10/bbl crack</t>
  </si>
  <si>
    <t xml:space="preserve">Q3 fossil fuel cost (€m): Brent ↓ / crack →</t>
  </si>
  <si>
    <t xml:space="preserve">Caveats</t>
  </si>
  <si>
    <t xml:space="preserve">• Uses quarter-average prices. Pricing month by month (Brent rose through Q3) adds about €14m.</t>
  </si>
  <si>
    <t xml:space="preserve">• Assumes no extra European jet premium. Q2 needed +152 $/t; a similar Q3 gap would add about €350m.</t>
  </si>
  <si>
    <t xml:space="preserve">• Source links: Lufthansa Q2-26 results presentation; FRED EXUSEU.</t>
  </si>
  <si>
    <t xml:space="preserve">https://investor-relations.lufthansagroup.com/fileadmin/downloads/en/charts-speeches/LH-QR-2026-2-charts.pdf</t>
  </si>
  <si>
    <t xml:space="preserve">https://fred.stlouisfed.org/series/EXUSEU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</si>
</sst>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"/>
    <numFmt numFmtId="167" formatCode="0%"/>
    <numFmt numFmtId="168" formatCode="#,##0"/>
    <numFmt numFmtId="169" formatCode="0"/>
    <numFmt numFmtId="170" formatCode="0.0"/>
    <numFmt numFmtId="171" formatCode="\+#,##0;\-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nvestor-relations.lufthansagroup.com/fileadmin/downloads/en/charts-speeches/LH-QR-2026-2-charts.pdf" TargetMode="External"/><Relationship Id="rId2" Type="http://schemas.openxmlformats.org/officeDocument/2006/relationships/hyperlink" Target="https://fred.stlouisfed.org/series/EXUSE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9" min="4" style="0" width="1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91.29</v>
      </c>
      <c r="D5" s="2" t="s">
        <v>4</v>
      </c>
    </row>
    <row r="6" customFormat="false" ht="15" hidden="false" customHeight="false" outlineLevel="0" collapsed="false">
      <c r="B6" s="4" t="s">
        <v>5</v>
      </c>
      <c r="C6" s="5" t="n">
        <v>77.91</v>
      </c>
      <c r="D6" s="2" t="s">
        <v>4</v>
      </c>
    </row>
    <row r="7" customFormat="false" ht="15" hidden="false" customHeight="false" outlineLevel="0" collapsed="false">
      <c r="B7" s="4" t="s">
        <v>6</v>
      </c>
      <c r="C7" s="6" t="n">
        <f aca="false">AVERAGE(1.1423,1.1594,1.1505)</f>
        <v>1.15073333333333</v>
      </c>
      <c r="D7" s="2" t="s">
        <v>7</v>
      </c>
    </row>
    <row r="9" customFormat="false" ht="15" hidden="false" customHeight="false" outlineLevel="0" collapsed="false">
      <c r="B9" s="3" t="s">
        <v>8</v>
      </c>
    </row>
    <row r="10" customFormat="false" ht="15" hidden="false" customHeight="false" outlineLevel="0" collapsed="false">
      <c r="B10" s="4" t="s">
        <v>9</v>
      </c>
      <c r="C10" s="7" t="n">
        <v>2.68</v>
      </c>
      <c r="D10" s="2" t="s">
        <v>10</v>
      </c>
    </row>
    <row r="11" customFormat="false" ht="15" hidden="false" customHeight="false" outlineLevel="0" collapsed="false">
      <c r="B11" s="4" t="s">
        <v>11</v>
      </c>
      <c r="C11" s="8" t="n">
        <v>0.82</v>
      </c>
      <c r="D11" s="2" t="s">
        <v>10</v>
      </c>
    </row>
    <row r="12" customFormat="false" ht="15" hidden="false" customHeight="false" outlineLevel="0" collapsed="false">
      <c r="B12" s="4" t="s">
        <v>12</v>
      </c>
      <c r="C12" s="9" t="n">
        <v>60</v>
      </c>
      <c r="D12" s="2" t="s">
        <v>13</v>
      </c>
    </row>
    <row r="13" customFormat="false" ht="15" hidden="false" customHeight="false" outlineLevel="0" collapsed="false">
      <c r="B13" s="4" t="s">
        <v>14</v>
      </c>
      <c r="C13" s="9" t="n">
        <v>1005</v>
      </c>
      <c r="D13" s="2" t="s">
        <v>15</v>
      </c>
    </row>
    <row r="14" customFormat="false" ht="15" hidden="false" customHeight="false" outlineLevel="0" collapsed="false">
      <c r="B14" s="4" t="s">
        <v>16</v>
      </c>
      <c r="C14" s="9" t="n">
        <v>2370</v>
      </c>
      <c r="D14" s="2" t="s">
        <v>15</v>
      </c>
    </row>
    <row r="16" customFormat="false" ht="15" hidden="false" customHeight="false" outlineLevel="0" collapsed="false">
      <c r="B16" s="3" t="s">
        <v>17</v>
      </c>
    </row>
    <row r="17" customFormat="false" ht="15" hidden="false" customHeight="false" outlineLevel="0" collapsed="false">
      <c r="B17" s="4" t="s">
        <v>18</v>
      </c>
      <c r="C17" s="7" t="n">
        <v>7.88</v>
      </c>
      <c r="D17" s="2" t="s">
        <v>19</v>
      </c>
    </row>
    <row r="18" customFormat="false" ht="15" hidden="false" customHeight="false" outlineLevel="0" collapsed="false">
      <c r="B18" s="4" t="s">
        <v>20</v>
      </c>
      <c r="C18" s="7" t="n">
        <v>1.15</v>
      </c>
      <c r="D18" s="2" t="s">
        <v>21</v>
      </c>
    </row>
    <row r="19" customFormat="false" ht="15" hidden="false" customHeight="false" outlineLevel="0" collapsed="false">
      <c r="B19" s="4" t="s">
        <v>22</v>
      </c>
      <c r="C19" s="10" t="n">
        <v>181</v>
      </c>
      <c r="D19" s="2" t="s">
        <v>23</v>
      </c>
    </row>
    <row r="20" customFormat="false" ht="15" hidden="false" customHeight="false" outlineLevel="0" collapsed="false">
      <c r="B20" s="4" t="s">
        <v>24</v>
      </c>
      <c r="C20" s="9" t="n">
        <v>691</v>
      </c>
      <c r="D20" s="2" t="s">
        <v>25</v>
      </c>
    </row>
    <row r="21" customFormat="false" ht="15" hidden="false" customHeight="false" outlineLevel="0" collapsed="false">
      <c r="B21" s="4" t="s">
        <v>26</v>
      </c>
      <c r="C21" s="9" t="n">
        <v>1299</v>
      </c>
      <c r="D21" s="2" t="s">
        <v>25</v>
      </c>
    </row>
    <row r="22" customFormat="false" ht="15" hidden="false" customHeight="false" outlineLevel="0" collapsed="false">
      <c r="B22" s="4" t="s">
        <v>27</v>
      </c>
      <c r="C22" s="10" t="n">
        <v>155</v>
      </c>
      <c r="D22" s="2" t="s">
        <v>28</v>
      </c>
    </row>
    <row r="23" customFormat="false" ht="15" hidden="false" customHeight="false" outlineLevel="0" collapsed="false">
      <c r="B23" s="4" t="s">
        <v>29</v>
      </c>
      <c r="C23" s="11" t="n">
        <v>-7.9</v>
      </c>
      <c r="D23" s="2" t="s">
        <v>30</v>
      </c>
    </row>
    <row r="25" customFormat="false" ht="15" hidden="false" customHeight="false" outlineLevel="0" collapsed="false">
      <c r="B25" s="3" t="s">
        <v>31</v>
      </c>
    </row>
    <row r="26" customFormat="false" ht="15" hidden="false" customHeight="false" outlineLevel="0" collapsed="false">
      <c r="B26" s="4" t="s">
        <v>32</v>
      </c>
      <c r="C26" s="12" t="n">
        <f aca="false">$C$17*((C5)+$C$18*(C6))</f>
        <v>1425.38562</v>
      </c>
    </row>
    <row r="27" customFormat="false" ht="15" hidden="false" customHeight="false" outlineLevel="0" collapsed="false">
      <c r="B27" s="4" t="s">
        <v>33</v>
      </c>
      <c r="C27" s="12" t="n">
        <f aca="false">((((C26)-$C$20)*NORMSDIST(((C26)-$C$20)/$C$19)+$C$19*EXP(-((((C26)-$C$20)/$C$19)^2)/2)/SQRT(2*PI()))-(((C26)-$C$21)*NORMSDIST(((C26)-$C$21)/$C$19)+$C$19*EXP(-((((C26)-$C$21)/$C$19)^2)/2)/SQRT(2*PI())))</f>
        <v>582.063680326091</v>
      </c>
      <c r="D27" s="2" t="s">
        <v>34</v>
      </c>
    </row>
    <row r="28" customFormat="false" ht="15" hidden="false" customHeight="false" outlineLevel="0" collapsed="false">
      <c r="B28" s="4" t="s">
        <v>35</v>
      </c>
      <c r="C28" s="13" t="n">
        <f aca="false">NORMSDIST((C26-$C$20)/$C$19)-NORMSDIST((C26-$C$21)/$C$19)</f>
        <v>0.242481524301222</v>
      </c>
      <c r="D28" s="2" t="s">
        <v>36</v>
      </c>
    </row>
    <row r="29" customFormat="false" ht="15" hidden="false" customHeight="false" outlineLevel="0" collapsed="false">
      <c r="B29" s="4" t="s">
        <v>37</v>
      </c>
      <c r="C29" s="14" t="n">
        <f aca="false">C26+$C$22-$C$11*C27</f>
        <v>1103.09340213261</v>
      </c>
    </row>
    <row r="31" customFormat="false" ht="15" hidden="false" customHeight="false" outlineLevel="0" collapsed="false">
      <c r="B31" s="3" t="s">
        <v>38</v>
      </c>
    </row>
    <row r="32" customFormat="false" ht="15" hidden="false" customHeight="false" outlineLevel="0" collapsed="false">
      <c r="B32" s="3" t="s">
        <v>39</v>
      </c>
      <c r="C32" s="15" t="n">
        <f aca="false">$C$10*C29/$C$7</f>
        <v>2569.04899865192</v>
      </c>
      <c r="D32" s="2" t="s">
        <v>40</v>
      </c>
    </row>
    <row r="33" customFormat="false" ht="15" hidden="false" customHeight="false" outlineLevel="0" collapsed="false">
      <c r="B33" s="4" t="s">
        <v>41</v>
      </c>
      <c r="C33" s="12" t="n">
        <f aca="false">$C$10*(C29-$C$23)/$C$7</f>
        <v>2587.44770092873</v>
      </c>
      <c r="D33" s="2" t="s">
        <v>42</v>
      </c>
    </row>
    <row r="34" customFormat="false" ht="15" hidden="false" customHeight="false" outlineLevel="0" collapsed="false">
      <c r="B34" s="3" t="s">
        <v>43</v>
      </c>
      <c r="C34" s="15" t="n">
        <f aca="false">C32+$C$12</f>
        <v>2629.04899865192</v>
      </c>
    </row>
    <row r="35" customFormat="false" ht="15" hidden="false" customHeight="false" outlineLevel="0" collapsed="false">
      <c r="B35" s="4" t="s">
        <v>44</v>
      </c>
      <c r="C35" s="16" t="n">
        <f aca="false">C32-$C$14</f>
        <v>199.048998651917</v>
      </c>
    </row>
    <row r="36" customFormat="false" ht="15" hidden="false" customHeight="false" outlineLevel="0" collapsed="false">
      <c r="B36" s="4" t="s">
        <v>45</v>
      </c>
      <c r="C36" s="16" t="n">
        <f aca="false">$C$10*(($C$17*(($C$5+10)+$C$18*($C$6))+$C$22-$C$11*(((($C$17*(($C$5+10)+$C$18*($C$6)))-$C$20)*NORMSDIST((($C$17*(($C$5+10)+$C$18*($C$6)))-$C$20)/$C$19)+$C$19*EXP(-(((($C$17*(($C$5+10)+$C$18*($C$6)))-$C$20)/$C$19)^2)/2)/SQRT(2*PI()))-((($C$17*(($C$5+10)+$C$18*($C$6)))-$C$21)*NORMSDIST((($C$17*(($C$5+10)+$C$18*($C$6)))-$C$21)/$C$19)+$C$19*EXP(-(((($C$17*(($C$5+10)+$C$18*($C$6)))-$C$21)/$C$19)^2)/2)/SQRT(2*PI()))))-C29)/$C$7</f>
        <v>156.173932213033</v>
      </c>
    </row>
    <row r="37" customFormat="false" ht="15" hidden="false" customHeight="false" outlineLevel="0" collapsed="false">
      <c r="B37" s="4" t="s">
        <v>46</v>
      </c>
      <c r="C37" s="16" t="n">
        <f aca="false">$C$10*(($C$17*(($C$5)+$C$18*($C$6+10))+$C$22-$C$11*(((($C$17*(($C$5)+$C$18*($C$6+10)))-$C$20)*NORMSDIST((($C$17*(($C$5)+$C$18*($C$6+10)))-$C$20)/$C$19)+$C$19*EXP(-(((($C$17*(($C$5)+$C$18*($C$6+10)))-$C$20)/$C$19)^2)/2)/SQRT(2*PI()))-((($C$17*(($C$5)+$C$18*($C$6+10)))-$C$21)*NORMSDIST((($C$17*(($C$5)+$C$18*($C$6+10)))-$C$21)/$C$19)+$C$19*EXP(-(((($C$17*(($C$5)+$C$18*($C$6+10)))-$C$21)/$C$19)^2)/2)/SQRT(2*PI()))))-C29)/$C$7</f>
        <v>180.952922899636</v>
      </c>
    </row>
    <row r="39" customFormat="false" ht="15" hidden="false" customHeight="false" outlineLevel="0" collapsed="false">
      <c r="B39" s="3" t="s">
        <v>47</v>
      </c>
    </row>
    <row r="40" customFormat="false" ht="15" hidden="false" customHeight="false" outlineLevel="0" collapsed="false">
      <c r="C40" s="17" t="n">
        <f aca="false">$C$6+(-20)</f>
        <v>57.91</v>
      </c>
      <c r="D40" s="17" t="n">
        <f aca="false">$C$6+(-10)</f>
        <v>67.91</v>
      </c>
      <c r="E40" s="17" t="n">
        <f aca="false">$C$6+(0)</f>
        <v>77.91</v>
      </c>
      <c r="F40" s="17" t="n">
        <f aca="false">$C$6+(10)</f>
        <v>87.91</v>
      </c>
      <c r="G40" s="17" t="n">
        <f aca="false">$C$6+(20)</f>
        <v>97.91</v>
      </c>
    </row>
    <row r="41" customFormat="false" ht="15" hidden="false" customHeight="false" outlineLevel="0" collapsed="false">
      <c r="B41" s="18" t="n">
        <f aca="false">$C$5+(30)</f>
        <v>121.29</v>
      </c>
      <c r="C41" s="19" t="n">
        <f aca="false">$C$10*($C$17*(($B41)+$C$18*(C$40))+$C$22-$C$11*(((($C$17*(($B41)+$C$18*(C$40)))-$C$20)*NORMSDIST((($C$17*(($B41)+$C$18*(C$40)))-$C$20)/$C$19)+$C$19*EXP(-(((($C$17*(($B41)+$C$18*(C$40)))-$C$20)/$C$19)^2)/2)/SQRT(2*PI()))-((($C$17*(($B41)+$C$18*(C$40)))-$C$21)*NORMSDIST((($C$17*(($B41)+$C$18*(C$40)))-$C$21)/$C$19)+$C$19*EXP(-(((($C$17*(($B41)+$C$18*(C$40)))-$C$21)/$C$19)^2)/2)/SQRT(2*PI()))))/$C$7</f>
        <v>2676.61591408343</v>
      </c>
      <c r="D41" s="19" t="n">
        <f aca="false">$C$10*($C$17*(($B41)+$C$18*(D$40))+$C$22-$C$11*(((($C$17*(($B41)+$C$18*(D$40)))-$C$20)*NORMSDIST((($C$17*(($B41)+$C$18*(D$40)))-$C$20)/$C$19)+$C$19*EXP(-(((($C$17*(($B41)+$C$18*(D$40)))-$C$20)/$C$19)^2)/2)/SQRT(2*PI()))-((($C$17*(($B41)+$C$18*(D$40)))-$C$21)*NORMSDIST((($C$17*(($B41)+$C$18*(D$40)))-$C$21)/$C$19)+$C$19*EXP(-(((($C$17*(($B41)+$C$18*(D$40)))-$C$21)/$C$19)^2)/2)/SQRT(2*PI()))))/$C$7</f>
        <v>2869.07729250498</v>
      </c>
      <c r="E41" s="19" t="n">
        <f aca="false">$C$10*($C$17*(($B41)+$C$18*(E$40))+$C$22-$C$11*(((($C$17*(($B41)+$C$18*(E$40)))-$C$20)*NORMSDIST((($C$17*(($B41)+$C$18*(E$40)))-$C$20)/$C$19)+$C$19*EXP(-(((($C$17*(($B41)+$C$18*(E$40)))-$C$20)/$C$19)^2)/2)/SQRT(2*PI()))-((($C$17*(($B41)+$C$18*(E$40)))-$C$21)*NORMSDIST((($C$17*(($B41)+$C$18*(E$40)))-$C$21)/$C$19)+$C$19*EXP(-(((($C$17*(($B41)+$C$18*(E$40)))-$C$21)/$C$19)^2)/2)/SQRT(2*PI()))))/$C$7</f>
        <v>3072.9820626889</v>
      </c>
      <c r="F41" s="19" t="n">
        <f aca="false">$C$10*($C$17*(($B41)+$C$18*(F$40))+$C$22-$C$11*(((($C$17*(($B41)+$C$18*(F$40)))-$C$20)*NORMSDIST((($C$17*(($B41)+$C$18*(F$40)))-$C$20)/$C$19)+$C$19*EXP(-(((($C$17*(($B41)+$C$18*(F$40)))-$C$20)/$C$19)^2)/2)/SQRT(2*PI()))-((($C$17*(($B41)+$C$18*(F$40)))-$C$21)*NORMSDIST((($C$17*(($B41)+$C$18*(F$40)))-$C$21)/$C$19)+$C$19*EXP(-(((($C$17*(($B41)+$C$18*(F$40)))-$C$21)/$C$19)^2)/2)/SQRT(2*PI()))))/$C$7</f>
        <v>3281.81261234026</v>
      </c>
      <c r="G41" s="19" t="n">
        <f aca="false">$C$10*($C$17*(($B41)+$C$18*(G$40))+$C$22-$C$11*(((($C$17*(($B41)+$C$18*(G$40)))-$C$20)*NORMSDIST((($C$17*(($B41)+$C$18*(G$40)))-$C$20)/$C$19)+$C$19*EXP(-(((($C$17*(($B41)+$C$18*(G$40)))-$C$20)/$C$19)^2)/2)/SQRT(2*PI()))-((($C$17*(($B41)+$C$18*(G$40)))-$C$21)*NORMSDIST((($C$17*(($B41)+$C$18*(G$40)))-$C$21)/$C$19)+$C$19*EXP(-(((($C$17*(($B41)+$C$18*(G$40)))-$C$21)/$C$19)^2)/2)/SQRT(2*PI()))))/$C$7</f>
        <v>3492.30941576774</v>
      </c>
    </row>
    <row r="42" customFormat="false" ht="15" hidden="false" customHeight="false" outlineLevel="0" collapsed="false">
      <c r="B42" s="18" t="n">
        <f aca="false">$C$5+(20)</f>
        <v>111.29</v>
      </c>
      <c r="C42" s="19" t="n">
        <f aca="false">$C$10*($C$17*(($B42)+$C$18*(C$40))+$C$22-$C$11*(((($C$17*(($B42)+$C$18*(C$40)))-$C$20)*NORMSDIST((($C$17*(($B42)+$C$18*(C$40)))-$C$20)/$C$19)+$C$19*EXP(-(((($C$17*(($B42)+$C$18*(C$40)))-$C$20)/$C$19)^2)/2)/SQRT(2*PI()))-((($C$17*(($B42)+$C$18*(C$40)))-$C$21)*NORMSDIST((($C$17*(($B42)+$C$18*(C$40)))-$C$21)/$C$19)+$C$19*EXP(-(((($C$17*(($B42)+$C$18*(C$40)))-$C$21)/$C$19)^2)/2)/SQRT(2*PI()))))/$C$7</f>
        <v>2525.88837914688</v>
      </c>
      <c r="D42" s="19" t="n">
        <f aca="false">$C$10*($C$17*(($B42)+$C$18*(D$40))+$C$22-$C$11*(((($C$17*(($B42)+$C$18*(D$40)))-$C$20)*NORMSDIST((($C$17*(($B42)+$C$18*(D$40)))-$C$20)/$C$19)+$C$19*EXP(-(((($C$17*(($B42)+$C$18*(D$40)))-$C$20)/$C$19)^2)/2)/SQRT(2*PI()))-((($C$17*(($B42)+$C$18*(D$40)))-$C$21)*NORMSDIST((($C$17*(($B42)+$C$18*(D$40)))-$C$21)/$C$19)+$C$19*EXP(-(((($C$17*(($B42)+$C$18*(D$40)))-$C$21)/$C$19)^2)/2)/SQRT(2*PI()))))/$C$7</f>
        <v>2700.75325031069</v>
      </c>
      <c r="E42" s="19" t="n">
        <f aca="false">$C$10*($C$17*(($B42)+$C$18*(E$40))+$C$22-$C$11*(((($C$17*(($B42)+$C$18*(E$40)))-$C$20)*NORMSDIST((($C$17*(($B42)+$C$18*(E$40)))-$C$20)/$C$19)+$C$19*EXP(-(((($C$17*(($B42)+$C$18*(E$40)))-$C$20)/$C$19)^2)/2)/SQRT(2*PI()))-((($C$17*(($B42)+$C$18*(E$40)))-$C$21)*NORMSDIST((($C$17*(($B42)+$C$18*(E$40)))-$C$21)/$C$19)+$C$19*EXP(-(((($C$17*(($B42)+$C$18*(E$40)))-$C$21)/$C$19)^2)/2)/SQRT(2*PI()))))/$C$7</f>
        <v>2895.20003546745</v>
      </c>
      <c r="F42" s="19" t="n">
        <f aca="false">$C$10*($C$17*(($B42)+$C$18*(F$40))+$C$22-$C$11*(((($C$17*(($B42)+$C$18*(F$40)))-$C$20)*NORMSDIST((($C$17*(($B42)+$C$18*(F$40)))-$C$20)/$C$19)+$C$19*EXP(-(((($C$17*(($B42)+$C$18*(F$40)))-$C$20)/$C$19)^2)/2)/SQRT(2*PI()))-((($C$17*(($B42)+$C$18*(F$40)))-$C$21)*NORMSDIST((($C$17*(($B42)+$C$18*(F$40)))-$C$21)/$C$19)+$C$19*EXP(-(((($C$17*(($B42)+$C$18*(F$40)))-$C$21)/$C$19)^2)/2)/SQRT(2*PI()))))/$C$7</f>
        <v>3100.0397448219</v>
      </c>
      <c r="G42" s="19" t="n">
        <f aca="false">$C$10*($C$17*(($B42)+$C$18*(G$40))+$C$22-$C$11*(((($C$17*(($B42)+$C$18*(G$40)))-$C$20)*NORMSDIST((($C$17*(($B42)+$C$18*(G$40)))-$C$20)/$C$19)+$C$19*EXP(-(((($C$17*(($B42)+$C$18*(G$40)))-$C$20)/$C$19)^2)/2)/SQRT(2*PI()))-((($C$17*(($B42)+$C$18*(G$40)))-$C$21)*NORMSDIST((($C$17*(($B42)+$C$18*(G$40)))-$C$21)/$C$19)+$C$19*EXP(-(((($C$17*(($B42)+$C$18*(G$40)))-$C$21)/$C$19)^2)/2)/SQRT(2*PI()))))/$C$7</f>
        <v>3309.21467950206</v>
      </c>
    </row>
    <row r="43" customFormat="false" ht="15" hidden="false" customHeight="false" outlineLevel="0" collapsed="false">
      <c r="B43" s="18" t="n">
        <f aca="false">$C$5+(10)</f>
        <v>101.29</v>
      </c>
      <c r="C43" s="19" t="n">
        <f aca="false">$C$10*($C$17*(($B43)+$C$18*(C$40))+$C$22-$C$11*(((($C$17*(($B43)+$C$18*(C$40)))-$C$20)*NORMSDIST((($C$17*(($B43)+$C$18*(C$40)))-$C$20)/$C$19)+$C$19*EXP(-(((($C$17*(($B43)+$C$18*(C$40)))-$C$20)/$C$19)^2)/2)/SQRT(2*PI()))-((($C$17*(($B43)+$C$18*(C$40)))-$C$21)*NORMSDIST((($C$17*(($B43)+$C$18*(C$40)))-$C$21)/$C$19)+$C$19*EXP(-(((($C$17*(($B43)+$C$18*(C$40)))-$C$21)/$C$19)^2)/2)/SQRT(2*PI()))))/$C$7</f>
        <v>2397.15843735804</v>
      </c>
      <c r="D43" s="19" t="n">
        <f aca="false">$C$10*($C$17*(($B43)+$C$18*(D$40))+$C$22-$C$11*(((($C$17*(($B43)+$C$18*(D$40)))-$C$20)*NORMSDIST((($C$17*(($B43)+$C$18*(D$40)))-$C$20)/$C$19)+$C$19*EXP(-(((($C$17*(($B43)+$C$18*(D$40)))-$C$20)/$C$19)^2)/2)/SQRT(2*PI()))-((($C$17*(($B43)+$C$18*(D$40)))-$C$21)*NORMSDIST((($C$17*(($B43)+$C$18*(D$40)))-$C$21)/$C$19)+$C$19*EXP(-(((($C$17*(($B43)+$C$18*(D$40)))-$C$21)/$C$19)^2)/2)/SQRT(2*PI()))))/$C$7</f>
        <v>2547.22817741717</v>
      </c>
      <c r="E43" s="19" t="n">
        <f aca="false">$C$10*($C$17*(($B43)+$C$18*(E$40))+$C$22-$C$11*(((($C$17*(($B43)+$C$18*(E$40)))-$C$20)*NORMSDIST((($C$17*(($B43)+$C$18*(E$40)))-$C$20)/$C$19)+$C$19*EXP(-(((($C$17*(($B43)+$C$18*(E$40)))-$C$20)/$C$19)^2)/2)/SQRT(2*PI()))-((($C$17*(($B43)+$C$18*(E$40)))-$C$21)*NORMSDIST((($C$17*(($B43)+$C$18*(E$40)))-$C$21)/$C$19)+$C$19*EXP(-(((($C$17*(($B43)+$C$18*(E$40)))-$C$21)/$C$19)^2)/2)/SQRT(2*PI()))))/$C$7</f>
        <v>2725.22293086495</v>
      </c>
      <c r="F43" s="19" t="n">
        <f aca="false">$C$10*($C$17*(($B43)+$C$18*(F$40))+$C$22-$C$11*(((($C$17*(($B43)+$C$18*(F$40)))-$C$20)*NORMSDIST((($C$17*(($B43)+$C$18*(F$40)))-$C$20)/$C$19)+$C$19*EXP(-(((($C$17*(($B43)+$C$18*(F$40)))-$C$20)/$C$19)^2)/2)/SQRT(2*PI()))-((($C$17*(($B43)+$C$18*(F$40)))-$C$21)*NORMSDIST((($C$17*(($B43)+$C$18*(F$40)))-$C$21)/$C$19)+$C$19*EXP(-(((($C$17*(($B43)+$C$18*(F$40)))-$C$21)/$C$19)^2)/2)/SQRT(2*PI()))))/$C$7</f>
        <v>2921.49461118306</v>
      </c>
      <c r="G43" s="19" t="n">
        <f aca="false">$C$10*($C$17*(($B43)+$C$18*(G$40))+$C$22-$C$11*(((($C$17*(($B43)+$C$18*(G$40)))-$C$20)*NORMSDIST((($C$17*(($B43)+$C$18*(G$40)))-$C$20)/$C$19)+$C$19*EXP(-(((($C$17*(($B43)+$C$18*(G$40)))-$C$20)/$C$19)^2)/2)/SQRT(2*PI()))-((($C$17*(($B43)+$C$18*(G$40)))-$C$21)*NORMSDIST((($C$17*(($B43)+$C$18*(G$40)))-$C$21)/$C$19)+$C$19*EXP(-(((($C$17*(($B43)+$C$18*(G$40)))-$C$21)/$C$19)^2)/2)/SQRT(2*PI()))))/$C$7</f>
        <v>3127.16657992037</v>
      </c>
    </row>
    <row r="44" customFormat="false" ht="15" hidden="false" customHeight="false" outlineLevel="0" collapsed="false">
      <c r="B44" s="18" t="n">
        <f aca="false">$C$5+(0)</f>
        <v>91.29</v>
      </c>
      <c r="C44" s="19" t="n">
        <f aca="false">$C$10*($C$17*(($B44)+$C$18*(C$40))+$C$22-$C$11*(((($C$17*(($B44)+$C$18*(C$40)))-$C$20)*NORMSDIST((($C$17*(($B44)+$C$18*(C$40)))-$C$20)/$C$19)+$C$19*EXP(-(((($C$17*(($B44)+$C$18*(C$40)))-$C$20)/$C$19)^2)/2)/SQRT(2*PI()))-((($C$17*(($B44)+$C$18*(C$40)))-$C$21)*NORMSDIST((($C$17*(($B44)+$C$18*(C$40)))-$C$21)/$C$19)+$C$19*EXP(-(((($C$17*(($B44)+$C$18*(C$40)))-$C$21)/$C$19)^2)/2)/SQRT(2*PI()))))/$C$7</f>
        <v>2293.87339064877</v>
      </c>
      <c r="D44" s="19" t="n">
        <f aca="false">$C$10*($C$17*(($B44)+$C$18*(D$40))+$C$22-$C$11*(((($C$17*(($B44)+$C$18*(D$40)))-$C$20)*NORMSDIST((($C$17*(($B44)+$C$18*(D$40)))-$C$20)/$C$19)+$C$19*EXP(-(((($C$17*(($B44)+$C$18*(D$40)))-$C$20)/$C$19)^2)/2)/SQRT(2*PI()))-((($C$17*(($B44)+$C$18*(D$40)))-$C$21)*NORMSDIST((($C$17*(($B44)+$C$18*(D$40)))-$C$21)/$C$19)+$C$19*EXP(-(((($C$17*(($B44)+$C$18*(D$40)))-$C$21)/$C$19)^2)/2)/SQRT(2*PI()))))/$C$7</f>
        <v>2414.88332472453</v>
      </c>
      <c r="E44" s="19" t="n">
        <f aca="false">$C$10*($C$17*(($B44)+$C$18*(E$40))+$C$22-$C$11*(((($C$17*(($B44)+$C$18*(E$40)))-$C$20)*NORMSDIST((($C$17*(($B44)+$C$18*(E$40)))-$C$20)/$C$19)+$C$19*EXP(-(((($C$17*(($B44)+$C$18*(E$40)))-$C$20)/$C$19)^2)/2)/SQRT(2*PI()))-((($C$17*(($B44)+$C$18*(E$40)))-$C$21)*NORMSDIST((($C$17*(($B44)+$C$18*(E$40)))-$C$21)/$C$19)+$C$19*EXP(-(((($C$17*(($B44)+$C$18*(E$40)))-$C$21)/$C$19)^2)/2)/SQRT(2*PI()))))/$C$7</f>
        <v>2569.04899865192</v>
      </c>
      <c r="F44" s="19" t="n">
        <f aca="false">$C$10*($C$17*(($B44)+$C$18*(F$40))+$C$22-$C$11*(((($C$17*(($B44)+$C$18*(F$40)))-$C$20)*NORMSDIST((($C$17*(($B44)+$C$18*(F$40)))-$C$20)/$C$19)+$C$19*EXP(-(((($C$17*(($B44)+$C$18*(F$40)))-$C$20)/$C$19)^2)/2)/SQRT(2*PI()))-((($C$17*(($B44)+$C$18*(F$40)))-$C$21)*NORMSDIST((($C$17*(($B44)+$C$18*(F$40)))-$C$21)/$C$19)+$C$19*EXP(-(((($C$17*(($B44)+$C$18*(F$40)))-$C$21)/$C$19)^2)/2)/SQRT(2*PI()))))/$C$7</f>
        <v>2750.00192155155</v>
      </c>
      <c r="G44" s="19" t="n">
        <f aca="false">$C$10*($C$17*(($B44)+$C$18*(G$40))+$C$22-$C$11*(((($C$17*(($B44)+$C$18*(G$40)))-$C$20)*NORMSDIST((($C$17*(($B44)+$C$18*(G$40)))-$C$20)/$C$19)+$C$19*EXP(-(((($C$17*(($B44)+$C$18*(G$40)))-$C$20)/$C$19)^2)/2)/SQRT(2*PI()))-((($C$17*(($B44)+$C$18*(G$40)))-$C$21)*NORMSDIST((($C$17*(($B44)+$C$18*(G$40)))-$C$21)/$C$19)+$C$19*EXP(-(((($C$17*(($B44)+$C$18*(G$40)))-$C$21)/$C$19)^2)/2)/SQRT(2*PI()))))/$C$7</f>
        <v>2947.94396719991</v>
      </c>
    </row>
    <row r="45" customFormat="false" ht="15" hidden="false" customHeight="false" outlineLevel="0" collapsed="false">
      <c r="B45" s="18" t="n">
        <f aca="false">$C$5+(-10)</f>
        <v>81.29</v>
      </c>
      <c r="C45" s="19" t="n">
        <f aca="false">$C$10*($C$17*(($B45)+$C$18*(C$40))+$C$22-$C$11*(((($C$17*(($B45)+$C$18*(C$40)))-$C$20)*NORMSDIST((($C$17*(($B45)+$C$18*(C$40)))-$C$20)/$C$19)+$C$19*EXP(-(((($C$17*(($B45)+$C$18*(C$40)))-$C$20)/$C$19)^2)/2)/SQRT(2*PI()))-((($C$17*(($B45)+$C$18*(C$40)))-$C$21)*NORMSDIST((($C$17*(($B45)+$C$18*(C$40)))-$C$21)/$C$19)+$C$19*EXP(-(((($C$17*(($B45)+$C$18*(C$40)))-$C$21)/$C$19)^2)/2)/SQRT(2*PI()))))/$C$7</f>
        <v>2214.92211775322</v>
      </c>
      <c r="D45" s="19" t="n">
        <f aca="false">$C$10*($C$17*(($B45)+$C$18*(D$40))+$C$22-$C$11*(((($C$17*(($B45)+$C$18*(D$40)))-$C$20)*NORMSDIST((($C$17*(($B45)+$C$18*(D$40)))-$C$20)/$C$19)+$C$19*EXP(-(((($C$17*(($B45)+$C$18*(D$40)))-$C$20)/$C$19)^2)/2)/SQRT(2*PI()))-((($C$17*(($B45)+$C$18*(D$40)))-$C$21)*NORMSDIST((($C$17*(($B45)+$C$18*(D$40)))-$C$21)/$C$19)+$C$19*EXP(-(((($C$17*(($B45)+$C$18*(D$40)))-$C$21)/$C$19)^2)/2)/SQRT(2*PI()))))/$C$7</f>
        <v>2307.73237257173</v>
      </c>
      <c r="E45" s="19" t="n">
        <f aca="false">$C$10*($C$17*(($B45)+$C$18*(E$40))+$C$22-$C$11*(((($C$17*(($B45)+$C$18*(E$40)))-$C$20)*NORMSDIST((($C$17*(($B45)+$C$18*(E$40)))-$C$20)/$C$19)+$C$19*EXP(-(((($C$17*(($B45)+$C$18*(E$40)))-$C$20)/$C$19)^2)/2)/SQRT(2*PI()))-((($C$17*(($B45)+$C$18*(E$40)))-$C$21)*NORMSDIST((($C$17*(($B45)+$C$18*(E$40)))-$C$21)/$C$19)+$C$19*EXP(-(((($C$17*(($B45)+$C$18*(E$40)))-$C$21)/$C$19)^2)/2)/SQRT(2*PI()))))/$C$7</f>
        <v>2433.18367334667</v>
      </c>
      <c r="F45" s="19" t="n">
        <f aca="false">$C$10*($C$17*(($B45)+$C$18*(F$40))+$C$22-$C$11*(((($C$17*(($B45)+$C$18*(F$40)))-$C$20)*NORMSDIST((($C$17*(($B45)+$C$18*(F$40)))-$C$20)/$C$19)+$C$19*EXP(-(((($C$17*(($B45)+$C$18*(F$40)))-$C$20)/$C$19)^2)/2)/SQRT(2*PI()))-((($C$17*(($B45)+$C$18*(F$40)))-$C$21)*NORMSDIST((($C$17*(($B45)+$C$18*(F$40)))-$C$21)/$C$19)+$C$19*EXP(-(((($C$17*(($B45)+$C$18*(F$40)))-$C$21)/$C$19)^2)/2)/SQRT(2*PI()))))/$C$7</f>
        <v>2591.33043494337</v>
      </c>
      <c r="G45" s="19" t="n">
        <f aca="false">$C$10*($C$17*(($B45)+$C$18*(G$40))+$C$22-$C$11*(((($C$17*(($B45)+$C$18*(G$40)))-$C$20)*NORMSDIST((($C$17*(($B45)+$C$18*(G$40)))-$C$20)/$C$19)+$C$19*EXP(-(((($C$17*(($B45)+$C$18*(G$40)))-$C$20)/$C$19)^2)/2)/SQRT(2*PI()))-((($C$17*(($B45)+$C$18*(G$40)))-$C$21)*NORMSDIST((($C$17*(($B45)+$C$18*(G$40)))-$C$21)/$C$19)+$C$19*EXP(-(((($C$17*(($B45)+$C$18*(G$40)))-$C$21)/$C$19)^2)/2)/SQRT(2*PI()))))/$C$7</f>
        <v>2775.06755936199</v>
      </c>
    </row>
    <row r="46" customFormat="false" ht="15" hidden="false" customHeight="false" outlineLevel="0" collapsed="false">
      <c r="B46" s="18" t="n">
        <f aca="false">$C$5+(-20)</f>
        <v>71.29</v>
      </c>
      <c r="C46" s="19" t="n">
        <f aca="false">$C$10*($C$17*(($B46)+$C$18*(C$40))+$C$22-$C$11*(((($C$17*(($B46)+$C$18*(C$40)))-$C$20)*NORMSDIST((($C$17*(($B46)+$C$18*(C$40)))-$C$20)/$C$19)+$C$19*EXP(-(((($C$17*(($B46)+$C$18*(C$40)))-$C$20)/$C$19)^2)/2)/SQRT(2*PI()))-((($C$17*(($B46)+$C$18*(C$40)))-$C$21)*NORMSDIST((($C$17*(($B46)+$C$18*(C$40)))-$C$21)/$C$19)+$C$19*EXP(-(((($C$17*(($B46)+$C$18*(C$40)))-$C$21)/$C$19)^2)/2)/SQRT(2*PI()))))/$C$7</f>
        <v>2154.80609335072</v>
      </c>
      <c r="D46" s="19" t="n">
        <f aca="false">$C$10*($C$17*(($B46)+$C$18*(D$40))+$C$22-$C$11*(((($C$17*(($B46)+$C$18*(D$40)))-$C$20)*NORMSDIST((($C$17*(($B46)+$C$18*(D$40)))-$C$20)/$C$19)+$C$19*EXP(-(((($C$17*(($B46)+$C$18*(D$40)))-$C$20)/$C$19)^2)/2)/SQRT(2*PI()))-((($C$17*(($B46)+$C$18*(D$40)))-$C$21)*NORMSDIST((($C$17*(($B46)+$C$18*(D$40)))-$C$21)/$C$19)+$C$19*EXP(-(((($C$17*(($B46)+$C$18*(D$40)))-$C$21)/$C$19)^2)/2)/SQRT(2*PI()))))/$C$7</f>
        <v>2225.38943303157</v>
      </c>
      <c r="E46" s="19" t="n">
        <f aca="false">$C$10*($C$17*(($B46)+$C$18*(E$40))+$C$22-$C$11*(((($C$17*(($B46)+$C$18*(E$40)))-$C$20)*NORMSDIST((($C$17*(($B46)+$C$18*(E$40)))-$C$20)/$C$19)+$C$19*EXP(-(((($C$17*(($B46)+$C$18*(E$40)))-$C$20)/$C$19)^2)/2)/SQRT(2*PI()))-((($C$17*(($B46)+$C$18*(E$40)))-$C$21)*NORMSDIST((($C$17*(($B46)+$C$18*(E$40)))-$C$21)/$C$19)+$C$19*EXP(-(((($C$17*(($B46)+$C$18*(E$40)))-$C$21)/$C$19)^2)/2)/SQRT(2*PI()))))/$C$7</f>
        <v>2322.15833882052</v>
      </c>
      <c r="F46" s="19" t="n">
        <f aca="false">$C$10*($C$17*(($B46)+$C$18*(F$40))+$C$22-$C$11*(((($C$17*(($B46)+$C$18*(F$40)))-$C$20)*NORMSDIST((($C$17*(($B46)+$C$18*(F$40)))-$C$20)/$C$19)+$C$19*EXP(-(((($C$17*(($B46)+$C$18*(F$40)))-$C$20)/$C$19)^2)/2)/SQRT(2*PI()))-((($C$17*(($B46)+$C$18*(F$40)))-$C$21)*NORMSDIST((($C$17*(($B46)+$C$18*(F$40)))-$C$21)/$C$19)+$C$19*EXP(-(((($C$17*(($B46)+$C$18*(F$40)))-$C$21)/$C$19)^2)/2)/SQRT(2*PI()))))/$C$7</f>
        <v>2452.05110622856</v>
      </c>
      <c r="G46" s="19" t="n">
        <f aca="false">$C$10*($C$17*(($B46)+$C$18*(G$40))+$C$22-$C$11*(((($C$17*(($B46)+$C$18*(G$40)))-$C$20)*NORMSDIST((($C$17*(($B46)+$C$18*(G$40)))-$C$20)/$C$19)+$C$19*EXP(-(((($C$17*(($B46)+$C$18*(G$40)))-$C$20)/$C$19)^2)/2)/SQRT(2*PI()))-((($C$17*(($B46)+$C$18*(G$40)))-$C$21)*NORMSDIST((($C$17*(($B46)+$C$18*(G$40)))-$C$21)/$C$19)+$C$19*EXP(-(((($C$17*(($B46)+$C$18*(G$40)))-$C$21)/$C$19)^2)/2)/SQRT(2*PI()))))/$C$7</f>
        <v>2614.05106130454</v>
      </c>
    </row>
    <row r="47" customFormat="false" ht="15" hidden="false" customHeight="false" outlineLevel="0" collapsed="false">
      <c r="B47" s="18" t="n">
        <f aca="false">$C$5+(-30)</f>
        <v>61.29</v>
      </c>
      <c r="C47" s="19" t="n">
        <f aca="false">$C$10*($C$17*(($B47)+$C$18*(C$40))+$C$22-$C$11*(((($C$17*(($B47)+$C$18*(C$40)))-$C$20)*NORMSDIST((($C$17*(($B47)+$C$18*(C$40)))-$C$20)/$C$19)+$C$19*EXP(-(((($C$17*(($B47)+$C$18*(C$40)))-$C$20)/$C$19)^2)/2)/SQRT(2*PI()))-((($C$17*(($B47)+$C$18*(C$40)))-$C$21)*NORMSDIST((($C$17*(($B47)+$C$18*(C$40)))-$C$21)/$C$19)+$C$19*EXP(-(((($C$17*(($B47)+$C$18*(C$40)))-$C$21)/$C$19)^2)/2)/SQRT(2*PI()))))/$C$7</f>
        <v>2105.34596485325</v>
      </c>
      <c r="D47" s="19" t="n">
        <f aca="false">$C$10*($C$17*(($B47)+$C$18*(D$40))+$C$22-$C$11*(((($C$17*(($B47)+$C$18*(D$40)))-$C$20)*NORMSDIST((($C$17*(($B47)+$C$18*(D$40)))-$C$20)/$C$19)+$C$19*EXP(-(((($C$17*(($B47)+$C$18*(D$40)))-$C$20)/$C$19)^2)/2)/SQRT(2*PI()))-((($C$17*(($B47)+$C$18*(D$40)))-$C$21)*NORMSDIST((($C$17*(($B47)+$C$18*(D$40)))-$C$21)/$C$19)+$C$19*EXP(-(((($C$17*(($B47)+$C$18*(D$40)))-$C$21)/$C$19)^2)/2)/SQRT(2*PI()))))/$C$7</f>
        <v>2162.92685523821</v>
      </c>
      <c r="E47" s="19" t="n">
        <f aca="false">$C$10*($C$17*(($B47)+$C$18*(E$40))+$C$22-$C$11*(((($C$17*(($B47)+$C$18*(E$40)))-$C$20)*NORMSDIST((($C$17*(($B47)+$C$18*(E$40)))-$C$20)/$C$19)+$C$19*EXP(-(((($C$17*(($B47)+$C$18*(E$40)))-$C$20)/$C$19)^2)/2)/SQRT(2*PI()))-((($C$17*(($B47)+$C$18*(E$40)))-$C$21)*NORMSDIST((($C$17*(($B47)+$C$18*(E$40)))-$C$21)/$C$19)+$C$19*EXP(-(((($C$17*(($B47)+$C$18*(E$40)))-$C$21)/$C$19)^2)/2)/SQRT(2*PI()))))/$C$7</f>
        <v>2236.30954125169</v>
      </c>
      <c r="F47" s="19" t="n">
        <f aca="false">$C$10*($C$17*(($B47)+$C$18*(F$40))+$C$22-$C$11*(((($C$17*(($B47)+$C$18*(F$40)))-$C$20)*NORMSDIST((($C$17*(($B47)+$C$18*(F$40)))-$C$20)/$C$19)+$C$19*EXP(-(((($C$17*(($B47)+$C$18*(F$40)))-$C$20)/$C$19)^2)/2)/SQRT(2*PI()))-((($C$17*(($B47)+$C$18*(F$40)))-$C$21)*NORMSDIST((($C$17*(($B47)+$C$18*(F$40)))-$C$21)/$C$19)+$C$19*EXP(-(((($C$17*(($B47)+$C$18*(F$40)))-$C$21)/$C$19)^2)/2)/SQRT(2*PI()))))/$C$7</f>
        <v>2337.15983112028</v>
      </c>
      <c r="G47" s="19" t="n">
        <f aca="false">$C$10*($C$17*(($B47)+$C$18*(G$40))+$C$22-$C$11*(((($C$17*(($B47)+$C$18*(G$40)))-$C$20)*NORMSDIST((($C$17*(($B47)+$C$18*(G$40)))-$C$20)/$C$19)+$C$19*EXP(-(((($C$17*(($B47)+$C$18*(G$40)))-$C$20)/$C$19)^2)/2)/SQRT(2*PI()))-((($C$17*(($B47)+$C$18*(G$40)))-$C$21)*NORMSDIST((($C$17*(($B47)+$C$18*(G$40)))-$C$21)/$C$19)+$C$19*EXP(-(((($C$17*(($B47)+$C$18*(G$40)))-$C$21)/$C$19)^2)/2)/SQRT(2*PI()))))/$C$7</f>
        <v>2471.47495223224</v>
      </c>
    </row>
    <row r="49" customFormat="false" ht="15" hidden="false" customHeight="false" outlineLevel="0" collapsed="false">
      <c r="B49" s="3" t="s">
        <v>48</v>
      </c>
    </row>
    <row r="50" customFormat="false" ht="15" hidden="false" customHeight="false" outlineLevel="0" collapsed="false">
      <c r="B50" s="20" t="s">
        <v>49</v>
      </c>
    </row>
    <row r="51" customFormat="false" ht="15" hidden="false" customHeight="false" outlineLevel="0" collapsed="false">
      <c r="B51" s="20" t="s">
        <v>50</v>
      </c>
    </row>
    <row r="52" customFormat="false" ht="15" hidden="false" customHeight="false" outlineLevel="0" collapsed="false">
      <c r="B52" s="20" t="s">
        <v>51</v>
      </c>
    </row>
    <row r="53" customFormat="false" ht="15" hidden="false" customHeight="false" outlineLevel="0" collapsed="false">
      <c r="B53" s="21" t="s">
        <v>52</v>
      </c>
    </row>
    <row r="54" customFormat="false" ht="15" hidden="false" customHeight="false" outlineLevel="0" collapsed="false">
      <c r="B54" s="21" t="s">
        <v>53</v>
      </c>
    </row>
  </sheetData>
  <conditionalFormatting sqref="C41:G47">
    <cfRule type="colorScale" priority="2">
      <colorScale>
        <cfvo type="min" val="0"/>
        <cfvo type="percentile" val="50"/>
        <cfvo type="max" val="0"/>
        <color rgb="FF63BE7B"/>
        <color rgb="FFFFFFFF"/>
        <color rgb="FFBFBFBF"/>
      </colorScale>
    </cfRule>
  </conditionalFormatting>
  <hyperlinks>
    <hyperlink ref="B53" r:id="rId1" display="https://investor-relations.lufthansagroup.com/fileadmin/downloads/en/charts-speeches/LH-QR-2026-2-charts.pdf"/>
    <hyperlink ref="B54" r:id="rId2" display="https://fred.stlouisfed.org/series/EXUSE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2026-10-28T16:06:53Z</dcterms:created>
  <dc:creator>openpyxl</dc:creator>
  <dc:description/>
  <dc:language>en-US</dc:language>
  <cp:lastModifiedBy/>
  <dcterms:modified xsi:type="dcterms:W3CDTF">2026-10-28T16:06:53Z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